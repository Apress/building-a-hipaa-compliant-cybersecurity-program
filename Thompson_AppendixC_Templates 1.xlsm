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thompson\Desktop\writing\Building HIPAA Compliant CyberProgram\"/>
    </mc:Choice>
  </mc:AlternateContent>
  <bookViews>
    <workbookView xWindow="0" yWindow="0" windowWidth="20490" windowHeight="7515" tabRatio="815" activeTab="6" xr2:uid="{00000000-000D-0000-FFFF-FFFF00000000}"/>
  </bookViews>
  <sheets>
    <sheet name="Methodology" sheetId="21" r:id="rId1"/>
    <sheet name="Instances of ePHI" sheetId="26" r:id="rId2"/>
    <sheet name="Threats" sheetId="16" r:id="rId3"/>
    <sheet name="Vulnerabilities" sheetId="1" r:id="rId4"/>
    <sheet name="Risk Ratings" sheetId="18" r:id="rId5"/>
    <sheet name="Risk Measurement" sheetId="5" r:id="rId6"/>
    <sheet name="Graphical Risks " sheetId="25" r:id="rId7"/>
    <sheet name="PIVOT" sheetId="23" state="hidden" r:id="rId8"/>
  </sheets>
  <definedNames>
    <definedName name="_xlnm._FilterDatabase" localSheetId="4" hidden="1">'Risk Ratings'!$A$1:$M$7</definedName>
    <definedName name="_xlnm._FilterDatabase" localSheetId="2" hidden="1">Threats!$B$7:$H$11</definedName>
    <definedName name="_xlnm._FilterDatabase" localSheetId="3" hidden="1">Vulnerabilities!$B$7:$D$97</definedName>
    <definedName name="_Ref342035581" localSheetId="5">'Risk Measurement'!#REF!</definedName>
    <definedName name="_xlnm.Print_Area" localSheetId="3">Vulnerabilities!$B$7:$D$79</definedName>
  </definedNames>
  <calcPr calcId="171027"/>
  <pivotCaches>
    <pivotCache cacheId="1" r:id="rId9"/>
  </pivotCaches>
</workbook>
</file>

<file path=xl/calcChain.xml><?xml version="1.0" encoding="utf-8"?>
<calcChain xmlns="http://schemas.openxmlformats.org/spreadsheetml/2006/main">
  <c r="K10" i="18" l="1"/>
  <c r="D8" i="18" l="1"/>
  <c r="E8" i="18"/>
  <c r="D9" i="18"/>
  <c r="D61" i="18"/>
  <c r="E61" i="18"/>
  <c r="D60" i="18"/>
  <c r="E60" i="18"/>
  <c r="D59" i="18"/>
  <c r="E59" i="18"/>
  <c r="D58" i="18"/>
  <c r="E58" i="18"/>
  <c r="D57" i="18"/>
  <c r="E57" i="18"/>
  <c r="D56" i="18"/>
  <c r="E56" i="18"/>
  <c r="D55" i="18"/>
  <c r="E55" i="18"/>
  <c r="D54" i="18"/>
  <c r="E54" i="18"/>
  <c r="D53" i="18"/>
  <c r="E53" i="18"/>
  <c r="D52" i="18"/>
  <c r="E52" i="18"/>
  <c r="D51" i="18"/>
  <c r="E51" i="18"/>
  <c r="D50" i="18"/>
  <c r="E50" i="18"/>
  <c r="D49" i="18"/>
  <c r="E49" i="18"/>
  <c r="D48" i="18"/>
  <c r="E48" i="18"/>
  <c r="D47" i="18"/>
  <c r="E47" i="18"/>
  <c r="D46" i="18"/>
  <c r="E46" i="18"/>
  <c r="D45" i="18"/>
  <c r="E45" i="18"/>
  <c r="D44" i="18"/>
  <c r="E44" i="18"/>
  <c r="D43" i="18"/>
  <c r="E43" i="18"/>
  <c r="D42" i="18"/>
  <c r="E42" i="18"/>
  <c r="D41" i="18"/>
  <c r="E41" i="18"/>
  <c r="D40" i="18"/>
  <c r="E40" i="18"/>
  <c r="D39" i="18"/>
  <c r="E39" i="18"/>
  <c r="D38" i="18"/>
  <c r="E38" i="18"/>
  <c r="D37" i="18"/>
  <c r="E37" i="18"/>
  <c r="D36" i="18"/>
  <c r="E36" i="18"/>
  <c r="D35" i="18"/>
  <c r="E35" i="18"/>
  <c r="D34" i="18"/>
  <c r="E34" i="18"/>
  <c r="D33" i="18"/>
  <c r="E33" i="18"/>
  <c r="D32" i="18"/>
  <c r="E32" i="18"/>
  <c r="D31" i="18"/>
  <c r="E31" i="18"/>
  <c r="D30" i="18"/>
  <c r="E30" i="18"/>
  <c r="D29" i="18"/>
  <c r="E29" i="18"/>
  <c r="D28" i="18"/>
  <c r="E28" i="18"/>
  <c r="D27" i="18"/>
  <c r="E27" i="18"/>
  <c r="D26" i="18"/>
  <c r="E26" i="18"/>
  <c r="D25" i="18"/>
  <c r="E25" i="18"/>
  <c r="D24" i="18"/>
  <c r="E24" i="18"/>
  <c r="D23" i="18"/>
  <c r="E23" i="18"/>
  <c r="D22" i="18"/>
  <c r="E22" i="18"/>
  <c r="D21" i="18"/>
  <c r="E21" i="18"/>
  <c r="D20" i="18"/>
  <c r="E20" i="18"/>
  <c r="D19" i="18"/>
  <c r="E19" i="18"/>
  <c r="D18" i="18"/>
  <c r="E18" i="18"/>
  <c r="D17" i="18"/>
  <c r="E17" i="18"/>
  <c r="D16" i="18"/>
  <c r="E16" i="18"/>
  <c r="D15" i="18"/>
  <c r="E15" i="18"/>
  <c r="D14" i="18"/>
  <c r="E14" i="18"/>
  <c r="D13" i="18"/>
  <c r="E13" i="18"/>
  <c r="D12" i="18"/>
  <c r="E12" i="18"/>
  <c r="D11" i="18"/>
  <c r="E11" i="18"/>
  <c r="D10" i="18"/>
  <c r="E10" i="18"/>
  <c r="E9" i="18"/>
  <c r="K8" i="18"/>
  <c r="K9" i="18"/>
  <c r="B4" i="5"/>
  <c r="B2" i="5"/>
</calcChain>
</file>

<file path=xl/sharedStrings.xml><?xml version="1.0" encoding="utf-8"?>
<sst xmlns="http://schemas.openxmlformats.org/spreadsheetml/2006/main" count="513" uniqueCount="408">
  <si>
    <t>Security Organization</t>
  </si>
  <si>
    <t>Coordination and Contact with Authorities and Regulatory Bodies</t>
  </si>
  <si>
    <t>High</t>
  </si>
  <si>
    <t>Independent Review of Security Program</t>
  </si>
  <si>
    <t>Technology Information Disclosure</t>
  </si>
  <si>
    <t xml:space="preserve">Security Education &amp; Awareness </t>
  </si>
  <si>
    <t>Operational Security Management</t>
  </si>
  <si>
    <t>Network Security Oversight</t>
  </si>
  <si>
    <t>Malicious Code Protection</t>
  </si>
  <si>
    <t>Security Monitoring</t>
  </si>
  <si>
    <t>Identity Management</t>
  </si>
  <si>
    <t>Authentication</t>
  </si>
  <si>
    <t>Network Authorization and Access Management</t>
  </si>
  <si>
    <t>Operating System Authorization and Access Management</t>
  </si>
  <si>
    <t>Application Authorization and Access Management</t>
  </si>
  <si>
    <t>Privileged and Emergency Access</t>
  </si>
  <si>
    <t>Database Authorization and Access Management</t>
  </si>
  <si>
    <t>Remote Access Authorization and Management</t>
  </si>
  <si>
    <t>Segregation of Duties</t>
  </si>
  <si>
    <t>Security Incident Management</t>
  </si>
  <si>
    <t>Information Security Incident and Event Reporting</t>
  </si>
  <si>
    <t>Physical and Environmental Security</t>
  </si>
  <si>
    <t>Physical Security Management</t>
  </si>
  <si>
    <t>Equipment Management</t>
  </si>
  <si>
    <t>Physical Access Administration</t>
  </si>
  <si>
    <t>Information Technology Security Management</t>
  </si>
  <si>
    <t>Technology Security Definitions</t>
  </si>
  <si>
    <t>Application Processing Integrity</t>
  </si>
  <si>
    <t>Cryptography Solutions</t>
  </si>
  <si>
    <t>File and Source Code Security</t>
  </si>
  <si>
    <t>Technical Vulnerability Management</t>
  </si>
  <si>
    <t>Governance</t>
  </si>
  <si>
    <t>Accountability &amp; Oversight</t>
  </si>
  <si>
    <t>IT Structure</t>
  </si>
  <si>
    <t>IT Ownership</t>
  </si>
  <si>
    <t>IT Financial Management</t>
  </si>
  <si>
    <t>IT Budget</t>
  </si>
  <si>
    <t>Legal &amp; Regulatory Compliance</t>
  </si>
  <si>
    <t>Compliance Requirements</t>
  </si>
  <si>
    <t>Compliance Monitoring and Resolution</t>
  </si>
  <si>
    <t>Information and Data Management</t>
  </si>
  <si>
    <t>Information Architecture</t>
  </si>
  <si>
    <t>Data Management</t>
  </si>
  <si>
    <t>Information Exchange</t>
  </si>
  <si>
    <t>Policies, Standards  &amp; Procedures</t>
  </si>
  <si>
    <t>Policy Management</t>
  </si>
  <si>
    <t>Policy Review</t>
  </si>
  <si>
    <t>Risk Management</t>
  </si>
  <si>
    <t>Risk Management Roles and Responsibilities</t>
  </si>
  <si>
    <t>Risk Management  Framework</t>
  </si>
  <si>
    <t>Risk Identification, Event Management, and Profiling</t>
  </si>
  <si>
    <t>Risk Assessment</t>
  </si>
  <si>
    <t>Risk Treatment</t>
  </si>
  <si>
    <t>IT Service Continuity Management</t>
  </si>
  <si>
    <t>Back-up Operations Management</t>
  </si>
  <si>
    <t>Disaster Recovery Management</t>
  </si>
  <si>
    <t>Business Continuity Plan Management</t>
  </si>
  <si>
    <t>Business Impact Analysis</t>
  </si>
  <si>
    <t>User Disaster Recovery and Business Continuity Plan  Training</t>
  </si>
  <si>
    <t>Monitor and Reporting</t>
  </si>
  <si>
    <t>Change Management</t>
  </si>
  <si>
    <t>Change Request</t>
  </si>
  <si>
    <t>Change Approval</t>
  </si>
  <si>
    <t>Change Monitoring</t>
  </si>
  <si>
    <t>Emergency Change Scheduling</t>
  </si>
  <si>
    <t>Vulnerability</t>
  </si>
  <si>
    <t>Appropriate measures are not taken to secure technology assets from physical threats</t>
  </si>
  <si>
    <t>Emergency and/or critical changes are not scheduled in a timely manner</t>
  </si>
  <si>
    <t>Risk</t>
  </si>
  <si>
    <t>Availability Management</t>
  </si>
  <si>
    <t>Availability Requirements</t>
  </si>
  <si>
    <t>Availability Monitoring</t>
  </si>
  <si>
    <t>Preventative Maintenance</t>
  </si>
  <si>
    <t xml:space="preserve">Information is not adequately protected from malicious code </t>
  </si>
  <si>
    <t>Security incidents are not adequately managed</t>
  </si>
  <si>
    <t>Request for Changes (RFC) are ineffectively analyzed</t>
  </si>
  <si>
    <t>Management of Security Incidents</t>
  </si>
  <si>
    <t>Security Improvements</t>
  </si>
  <si>
    <t>Requirements Identification</t>
  </si>
  <si>
    <t>Requirements Development</t>
  </si>
  <si>
    <t>Requirements Definition, Assessment, and Prioritization</t>
  </si>
  <si>
    <t>Requirements Approval</t>
  </si>
  <si>
    <t>Development/ Customization (Application, Database, Operating System, Infrastructure)</t>
  </si>
  <si>
    <t>Design Specifications and Definition</t>
  </si>
  <si>
    <t>Development</t>
  </si>
  <si>
    <t>Implementation and Support Deployment Planning</t>
  </si>
  <si>
    <t>Configuration</t>
  </si>
  <si>
    <t>Knowledge Transfer</t>
  </si>
  <si>
    <t>Design specifications are not effectively developed, reviewed, and approved</t>
  </si>
  <si>
    <t>Validation</t>
  </si>
  <si>
    <t xml:space="preserve">Test Planning </t>
  </si>
  <si>
    <t>Test Environment Support</t>
  </si>
  <si>
    <t>Development Testing</t>
  </si>
  <si>
    <t>QA Testing</t>
  </si>
  <si>
    <t>Requirements Validation</t>
  </si>
  <si>
    <t>Impact</t>
  </si>
  <si>
    <t>Low</t>
  </si>
  <si>
    <t>Likelihood</t>
  </si>
  <si>
    <t>Very Low</t>
  </si>
  <si>
    <t>Significant</t>
  </si>
  <si>
    <t>Moderate</t>
  </si>
  <si>
    <t>Almost Certain</t>
  </si>
  <si>
    <t>#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</si>
  <si>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</si>
  <si>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</si>
  <si>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</si>
  <si>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</si>
  <si>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</si>
  <si>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</si>
  <si>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</si>
  <si>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</si>
  <si>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</si>
  <si>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</si>
  <si>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</si>
  <si>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</si>
  <si>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</si>
  <si>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</si>
  <si>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</si>
  <si>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</si>
  <si>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</si>
  <si>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</si>
  <si>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</si>
  <si>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</si>
  <si>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</si>
  <si>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</si>
  <si>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</si>
  <si>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</si>
  <si>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</si>
  <si>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</si>
  <si>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</si>
  <si>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</si>
  <si>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</si>
  <si>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</si>
  <si>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</si>
  <si>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</si>
  <si>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</si>
  <si>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</si>
  <si>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</si>
  <si>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</si>
  <si>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</si>
  <si>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</si>
  <si>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</si>
  <si>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</si>
  <si>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</si>
  <si>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</si>
  <si>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</si>
  <si>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</si>
  <si>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</si>
  <si>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</si>
  <si>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</si>
  <si>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</si>
  <si>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</si>
  <si>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</si>
  <si>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</si>
  <si>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</si>
  <si>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</si>
  <si>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</si>
  <si>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</si>
  <si>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</si>
  <si>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</si>
  <si>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</si>
  <si>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</si>
  <si>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</si>
  <si>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</si>
  <si>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</si>
  <si>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</si>
  <si>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</si>
  <si>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</si>
  <si>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</si>
  <si>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</si>
  <si>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</si>
  <si>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</si>
  <si>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</si>
  <si>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</si>
  <si>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</si>
  <si>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 xml:space="preserve">Malicious Insiders </t>
  </si>
  <si>
    <t>Curious, disgruntled, malicious, negligent, dishonest, or terminated employees or contractors</t>
  </si>
  <si>
    <t>Organizations and state-sponsored entities performing industrial espionage</t>
  </si>
  <si>
    <t>N/A</t>
  </si>
  <si>
    <t xml:space="preserve">Natural disasters and failures of critical infrastructures </t>
  </si>
  <si>
    <t>Outsider</t>
  </si>
  <si>
    <t>Insider</t>
  </si>
  <si>
    <t>Deliberate</t>
  </si>
  <si>
    <t>Threats</t>
  </si>
  <si>
    <t>Vulnerabilities</t>
  </si>
  <si>
    <t>T01</t>
  </si>
  <si>
    <t>T02</t>
  </si>
  <si>
    <t>T04</t>
  </si>
  <si>
    <t>Ref.</t>
  </si>
  <si>
    <t>Deliberate / Accidental</t>
  </si>
  <si>
    <t>- Competitive advantage 
- Economic espionage
- Stealing classified, proprietary, and/or technology-related information</t>
  </si>
  <si>
    <t>Motivation Types</t>
  </si>
  <si>
    <t>- Earthquakes
- Fires
- Floods
- Pandemics
- Regional power or telecommunications outages</t>
  </si>
  <si>
    <t>- Curiosity
- Ego
- Intelligence
- Monetary gain
- Revenge</t>
  </si>
  <si>
    <t>Risk Identification</t>
  </si>
  <si>
    <t>R01</t>
  </si>
  <si>
    <t>R02</t>
  </si>
  <si>
    <t>R03</t>
  </si>
  <si>
    <t>Methodology</t>
  </si>
  <si>
    <t>Solutions are not appropriately developed according to standards and requirements</t>
  </si>
  <si>
    <t>Implementation and deployment planning is not performed</t>
  </si>
  <si>
    <t>Users and support staff are not adequately educated on new systems/ functionalities</t>
  </si>
  <si>
    <t>Key stakeholders do not approve change</t>
  </si>
  <si>
    <t>Service/Solutions Delivery Lifecycle</t>
  </si>
  <si>
    <t>Outsider / Insider</t>
  </si>
  <si>
    <t>Example</t>
  </si>
  <si>
    <t>Known Risks</t>
  </si>
  <si>
    <t>Change requirements are not appropriately reviewed and prioritized</t>
  </si>
  <si>
    <t>Requirements for changes and new system developments are not adequately identified</t>
  </si>
  <si>
    <t>Changes and configurations are not developed to satisfy business requirements</t>
  </si>
  <si>
    <t>QA testing is not performed</t>
  </si>
  <si>
    <t>Requirements are not validated and approved by key stakeholders</t>
  </si>
  <si>
    <t>The test environment does not support testing standards and requirements</t>
  </si>
  <si>
    <t>Testing plans are not effectively created</t>
  </si>
  <si>
    <t>IT ownership and accountability is not clearly defined and documented</t>
  </si>
  <si>
    <t>The organizational IT structure is not designed to adequately support business objectives</t>
  </si>
  <si>
    <t>Data is not managed according to its respective classification requirements</t>
  </si>
  <si>
    <t>The enterprise information architecture model is inefficiently and ineffectively managed</t>
  </si>
  <si>
    <t>Changes are not effectively prioritized</t>
  </si>
  <si>
    <t>The change approval process is ineffectively managed</t>
  </si>
  <si>
    <t>A formalized BCP/DR training program is not in place</t>
  </si>
  <si>
    <t>The adequacy of IT service continuity is not monitored or reported</t>
  </si>
  <si>
    <t>The Disaster Recovery plans and procedures are not adequately reviewed and maintained by management</t>
  </si>
  <si>
    <t>A Business Impact Analysis (BIA) is not performed or documented</t>
  </si>
  <si>
    <t>The Business Continuity Plan and procedures are not adequately reviewed and maintained</t>
  </si>
  <si>
    <t>Back up operations are not adequately performed to recover from business disruptions</t>
  </si>
  <si>
    <t>Preventative infrastructure maintenance is not performed on a periodic basis</t>
  </si>
  <si>
    <t>Availability requirements to support the business are not defined</t>
  </si>
  <si>
    <t>System availability is not monitored and reported to management</t>
  </si>
  <si>
    <t>Security education and awareness training is not in place for the entire organization</t>
  </si>
  <si>
    <t>Independent review of the security program is not performed</t>
  </si>
  <si>
    <t>Relationships with legal, regulatory and authoritative bodies are ineffectively managed</t>
  </si>
  <si>
    <t>Security incidents do not incorporate challenges and lessons learned</t>
  </si>
  <si>
    <t>Security incidents are not adequately logged and reported for investigations</t>
  </si>
  <si>
    <t>Employees physical and environmental access is not effectively managed</t>
  </si>
  <si>
    <t>Physical security measures are not adequately in place to protect the organization</t>
  </si>
  <si>
    <t>Security monitoring is not adequately performed in order to detect unauthorized/suspicious activities</t>
  </si>
  <si>
    <t>Network authorization and access management is ineffectively managed</t>
  </si>
  <si>
    <t>The organization does not have an effective network security infrastructure</t>
  </si>
  <si>
    <t>Compliance is not monitored or resolved in a timely manner</t>
  </si>
  <si>
    <t>Legal and regulatory compliance requirements are not adequately integrated into policies and procedures</t>
  </si>
  <si>
    <t>Policies and procedures are not reviewed periodically by management</t>
  </si>
  <si>
    <t>A risk identification and management process is not in place</t>
  </si>
  <si>
    <t>A formalized IT risk management framework is not utilized</t>
  </si>
  <si>
    <t>Risk management roles and responsibilities are not appropriately defined and communicated</t>
  </si>
  <si>
    <t>Risks are not effectively treated</t>
  </si>
  <si>
    <t>Cryptographic solutions are not in place or effectively managed</t>
  </si>
  <si>
    <t>Applications do not have established and managed controls in place to ensure application integrity</t>
  </si>
  <si>
    <t>Access to system files and source code are not effectively controlled</t>
  </si>
  <si>
    <t>The vulnerability management program is not adequately defined</t>
  </si>
  <si>
    <t>Technology security requirements are not effectively identified and implemented</t>
  </si>
  <si>
    <t>Application authorization and access management is ineffectively managed</t>
  </si>
  <si>
    <t>User and system authentication is not appropriately managed or secured</t>
  </si>
  <si>
    <t>Database authorization and access management are not effectively managed</t>
  </si>
  <si>
    <t>Related Sub-Process</t>
  </si>
  <si>
    <t>Change requests are not appropriately monitored</t>
  </si>
  <si>
    <t>Note: Relevant threats were identified based on  NIST 800-30.</t>
  </si>
  <si>
    <t>Financial</t>
  </si>
  <si>
    <t>Device Protection (Laptops, PDAs, etc.)</t>
  </si>
  <si>
    <t>Electronic Transportable Media Protection (USB, CD, DVD, hard disk, etc.)</t>
  </si>
  <si>
    <t>External</t>
  </si>
  <si>
    <t>Operations</t>
  </si>
  <si>
    <t>Level 2: Technology Risk Category</t>
  </si>
  <si>
    <t>Row Labels</t>
  </si>
  <si>
    <t>Grand Total</t>
  </si>
  <si>
    <t>Observations Mapped to Vul. Ref.</t>
  </si>
  <si>
    <t>Count of Vul.</t>
  </si>
  <si>
    <t>Confidentiality and integrity of information exchanged with external entities is not maintained</t>
  </si>
  <si>
    <t>Privileged access and emergency access rights are inappropriately managed within the organization</t>
  </si>
  <si>
    <t>Secure disposal of media is not adequately performed</t>
  </si>
  <si>
    <t>Policies and procedures for IT infrastructure and other key functions are not effectively managed or communicated enterprise wide</t>
  </si>
  <si>
    <t>IT assets are not adequately secured from loss or theft</t>
  </si>
  <si>
    <t>The organization does not adequately protect electronic portable media</t>
  </si>
  <si>
    <t>Operating system authorization and access management is not effectively managed</t>
  </si>
  <si>
    <t>Responsibilities are not segregated within the organization</t>
  </si>
  <si>
    <t>IT is not appropriately funded to effectively maintain and support IT services</t>
  </si>
  <si>
    <t>User identities are not effectively managed</t>
  </si>
  <si>
    <t>Information access for remote computing is not adequately managed</t>
  </si>
  <si>
    <t>Highly Likely</t>
  </si>
  <si>
    <t>Critical</t>
  </si>
  <si>
    <t>Vulnerabilities with Multiple BSC Observations Mapped</t>
  </si>
  <si>
    <t xml:space="preserve"># of BSC Vulnerabilities by Level 1: IRM Risk Category </t>
  </si>
  <si>
    <t># of BSC Vulnerabilities by Level 2: Technology Risk Category</t>
  </si>
  <si>
    <t># of BSC Vulnerabilities by Related Sub-Process</t>
  </si>
  <si>
    <t>Sum of # of BSC Obs.</t>
  </si>
  <si>
    <t>Threat Actor</t>
  </si>
  <si>
    <t>Threat Vector</t>
  </si>
  <si>
    <t>Nature and Environment</t>
  </si>
  <si>
    <t>- Monetary gain (e.g., fraud, identity theft)
- Blackmail
- Insider information</t>
  </si>
  <si>
    <t>Individuals misusing information technology for monetary gain  through illegal access, illegal interception, data interference, misuse of devices, forgery and electronic fraud</t>
  </si>
  <si>
    <t>- Unauthorized system access
- System intrusion, break-ins
- Malicious code (e.g., virus, logic bomb, Trojan horse)</t>
  </si>
  <si>
    <t>- System intrusion, break-ins 
- Unauthorized system access 
- Malicious code (e.g., virus, logic bomb, Trojan horse)</t>
  </si>
  <si>
    <t xml:space="preserve">- Input of falsified data 
- Unauthorized system access 
- Interception/viewing of confidential data
- Malicious code (e.g., virus, logic bomb, Trojan horse) 
- System sabotage </t>
  </si>
  <si>
    <t>Risks are not assessed and evaluated  for potential likelihoods and impacts</t>
  </si>
  <si>
    <t xml:space="preserve">HIPAA risk analysis </t>
  </si>
  <si>
    <t xml:space="preserve">Instances of ePHI </t>
  </si>
  <si>
    <t xml:space="preserve">Instances where ePHI is created, stored, maintained and transmitted </t>
  </si>
  <si>
    <t xml:space="preserve">Qualitative Factors </t>
  </si>
  <si>
    <t>NIST Sub-category</t>
  </si>
  <si>
    <t>PR.IP-3</t>
  </si>
  <si>
    <t>PR.IP-1</t>
  </si>
  <si>
    <t>PR.IP-2</t>
  </si>
  <si>
    <t>ID.AM-5</t>
  </si>
  <si>
    <t>ID.BE-3</t>
  </si>
  <si>
    <t xml:space="preserve">ID.AM </t>
  </si>
  <si>
    <t>PR.DS-2</t>
  </si>
  <si>
    <t>ID.GV-3</t>
  </si>
  <si>
    <t>PR.IP-6</t>
  </si>
  <si>
    <t>ID.GV-2</t>
  </si>
  <si>
    <t>ID.GV-1</t>
  </si>
  <si>
    <t>ID.RA-4</t>
  </si>
  <si>
    <t>ID.RM-1</t>
  </si>
  <si>
    <t>ID.RA-6</t>
  </si>
  <si>
    <t>PR.DS-6</t>
  </si>
  <si>
    <t>PR.DS-1 and 2</t>
  </si>
  <si>
    <t>PR.AC-1</t>
  </si>
  <si>
    <t>PR.IP-12</t>
  </si>
  <si>
    <t>PR.AC-4</t>
  </si>
  <si>
    <t>ID.AM-1</t>
  </si>
  <si>
    <t>PR.AC-3</t>
  </si>
  <si>
    <t>PR.DS-4</t>
  </si>
  <si>
    <t>DE.AE-2</t>
  </si>
  <si>
    <t>PR.AC-2</t>
  </si>
  <si>
    <t>DE.AE-3</t>
  </si>
  <si>
    <t>RS.CO-1</t>
  </si>
  <si>
    <t>RS.IM-1</t>
  </si>
  <si>
    <t>RC.CO-1</t>
  </si>
  <si>
    <t>ID.GV-4</t>
  </si>
  <si>
    <t>PR.AT-1</t>
  </si>
  <si>
    <t>End of life systems remain unpatched without compensating controls and are accessible from the internet</t>
  </si>
  <si>
    <t>Initial Risk Score</t>
  </si>
  <si>
    <t xml:space="preserve">Initial Risk Rating </t>
  </si>
  <si>
    <t>Infrastructure and applications(including web applications and interfaces) are inappropriately configured</t>
  </si>
  <si>
    <t>Data in use, motion and at rest</t>
  </si>
  <si>
    <t xml:space="preserve">Virtual Instances </t>
  </si>
  <si>
    <t>V73</t>
  </si>
  <si>
    <t xml:space="preserve">Capacity Management is not monitored </t>
  </si>
  <si>
    <t>V74</t>
  </si>
  <si>
    <t>V75</t>
  </si>
  <si>
    <t xml:space="preserve">Network and infrastructure assets are not classfied according to criticality </t>
  </si>
  <si>
    <t>Redundancies are not built into the network infrastructure</t>
  </si>
  <si>
    <t xml:space="preserve">Environmental controls are missing or lacking withing the data center </t>
  </si>
  <si>
    <t>Maitenance is not performed on environmental capabilities in the DC</t>
  </si>
  <si>
    <t xml:space="preserve">Tapes are not rotated offsite </t>
  </si>
  <si>
    <t xml:space="preserve">BC and DR plans are not tested </t>
  </si>
  <si>
    <t xml:space="preserve">BC/DR requirements are not documented according to Plan requirements </t>
  </si>
  <si>
    <t>V76</t>
  </si>
  <si>
    <t>V77</t>
  </si>
  <si>
    <t>V78</t>
  </si>
  <si>
    <t>V79</t>
  </si>
  <si>
    <t>V80</t>
  </si>
  <si>
    <t>V81</t>
  </si>
  <si>
    <t xml:space="preserve">BU are not monitored for failures </t>
  </si>
  <si>
    <t>PR.IP-4</t>
  </si>
  <si>
    <t xml:space="preserve">Inputs which are out of range for a given field are accepted by an application </t>
  </si>
  <si>
    <t>Mandatory fields are left blank during input</t>
  </si>
  <si>
    <t>No control totals are used during processing</t>
  </si>
  <si>
    <t xml:space="preserve">Data is not processed as it is received </t>
  </si>
  <si>
    <t xml:space="preserve">Data rest is stored in clear text </t>
  </si>
  <si>
    <t>Changes to systems cause processing errors</t>
  </si>
  <si>
    <t xml:space="preserve">Processing output unrestricted </t>
  </si>
  <si>
    <t xml:space="preserve">Scheduled processes can be altered </t>
  </si>
  <si>
    <t>v82</t>
  </si>
  <si>
    <t>V83</t>
  </si>
  <si>
    <t>V84</t>
  </si>
  <si>
    <t>V85</t>
  </si>
  <si>
    <t>V86</t>
  </si>
  <si>
    <t>V87</t>
  </si>
  <si>
    <t>V88</t>
  </si>
  <si>
    <t>V89</t>
  </si>
  <si>
    <t>Live data is used in testing and development</t>
  </si>
  <si>
    <t>V90</t>
  </si>
  <si>
    <t>PR.MA-1</t>
  </si>
  <si>
    <t>PR.DS-7</t>
  </si>
  <si>
    <t xml:space="preserve">Very High </t>
  </si>
  <si>
    <r>
      <t>Risk Matrix</t>
    </r>
    <r>
      <rPr>
        <sz val="9"/>
        <color theme="1"/>
        <rFont val="Calibri"/>
        <family val="2"/>
        <scheme val="minor"/>
      </rPr>
      <t xml:space="preserve">
Level of risk determined by a combination of likelihood and impact
</t>
    </r>
  </si>
  <si>
    <t>Highly Unlikely</t>
  </si>
  <si>
    <t>Unlikely</t>
  </si>
  <si>
    <t>Somewhat Likely</t>
  </si>
  <si>
    <t xml:space="preserve">Database </t>
  </si>
  <si>
    <t xml:space="preserve">Operating System </t>
  </si>
  <si>
    <t>Quantifative Factors</t>
  </si>
  <si>
    <t xml:space="preserve">Cybercriminal </t>
  </si>
  <si>
    <t xml:space="preserve">State Sponsored </t>
  </si>
  <si>
    <t xml:space="preserve">Maturity Score </t>
  </si>
  <si>
    <t>Risk Severity</t>
  </si>
  <si>
    <t xml:space="preserve">The entity adopted the NIST Cyber Security Framework and applicable controls to reduce the potential for and impact of a breach.  </t>
  </si>
  <si>
    <r>
      <t xml:space="preserve">Sophisiticated attackers and could view, misdirect, steal (cause to be stolen), modify or destroy ePHI by exploiting </t>
    </r>
    <r>
      <rPr>
        <b/>
        <sz val="11"/>
        <rFont val="Calibri"/>
        <family val="2"/>
      </rPr>
      <t xml:space="preserve">access to applications not being managed based on least priviledge </t>
    </r>
  </si>
  <si>
    <r>
      <t xml:space="preserve">Sophisiticated attackers and could view, misdirect, steal (cause to be stolen), modify or destroy ePHI by exploiting </t>
    </r>
    <r>
      <rPr>
        <b/>
        <sz val="11"/>
        <rFont val="Calibri"/>
        <family val="2"/>
      </rPr>
      <t xml:space="preserve">immature training and awareness processes </t>
    </r>
  </si>
  <si>
    <r>
      <t xml:space="preserve">Sophisiticated attackers and could view, misdirect, steal (cause to be stolen), modify or destroy ePHI by exploiting </t>
    </r>
    <r>
      <rPr>
        <b/>
        <sz val="11"/>
        <rFont val="Calibri"/>
        <family val="2"/>
      </rPr>
      <t xml:space="preserve">the lack of monitoring and detection capabilities </t>
    </r>
  </si>
  <si>
    <t xml:space="preserve">High </t>
  </si>
  <si>
    <r>
      <t xml:space="preserve">Sophisiticated attackers and could view, misdirect, steal (cause to be stolen), modify or destroy ePHI by exploiting </t>
    </r>
    <r>
      <rPr>
        <b/>
        <sz val="9"/>
        <rFont val="Calibri"/>
        <family val="2"/>
      </rPr>
      <t xml:space="preserve">access to applications not being managed based on least priviledge </t>
    </r>
  </si>
  <si>
    <r>
      <t xml:space="preserve">Sophisiticated attackers and could view, misdirect, steal (cause to be stolen), modify or destroy ePHI by exploiting </t>
    </r>
    <r>
      <rPr>
        <b/>
        <sz val="9"/>
        <rFont val="Calibri"/>
        <family val="2"/>
      </rPr>
      <t xml:space="preserve">immature training and awareness processes </t>
    </r>
  </si>
  <si>
    <r>
      <t xml:space="preserve">Sophisiticated attackers and could view, misdirect, steal (cause to be stolen), modify or destroy ePHI by exploiting </t>
    </r>
    <r>
      <rPr>
        <b/>
        <sz val="9"/>
        <rFont val="Calibri"/>
        <family val="2"/>
      </rPr>
      <t xml:space="preserve">the lack of monitoring and detection capabilities </t>
    </r>
  </si>
  <si>
    <t xml:space="preserve">Impact </t>
  </si>
  <si>
    <t>Instance 1</t>
  </si>
  <si>
    <t>Instance 2</t>
  </si>
  <si>
    <t xml:space="preserve">Describe the situations highlighting data flows within the system, who the data is used by and where it rests </t>
  </si>
  <si>
    <t xml:space="preserve">Databse if applicable </t>
  </si>
  <si>
    <t xml:space="preserve">Database if applicable </t>
  </si>
  <si>
    <t xml:space="preserve">IT Asset </t>
  </si>
  <si>
    <t>T03</t>
  </si>
  <si>
    <t>Policy</t>
  </si>
  <si>
    <t>Procedure</t>
  </si>
  <si>
    <t xml:space="preserve">Control Implementation
</t>
  </si>
  <si>
    <t xml:space="preserve">Control Measurement 
</t>
  </si>
  <si>
    <t xml:space="preserve">We chose to utilize the NIST 800-30 Risk Management Framework as the basis for identifying and analyzing risks to the confidentiality, integrity and availability of ePHI. </t>
  </si>
  <si>
    <t>Control Mangement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</si>
</sst>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\(#,##0\)"/>
  </numFmts>
  <fonts count="5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11"/>
      <color indexed="8"/>
      <name val="Calibri"/>
      <family val="2"/>
    </font>
    <font>
      <sz val="10"/>
      <color indexed="8"/>
      <name val="Calibri"/>
      <family val="2"/>
    </font>
    <font>
      <sz val="10"/>
      <color indexed="8"/>
      <name val="MS Sans Serif"/>
      <family val="2"/>
    </font>
    <font>
      <sz val="10"/>
      <name val="Helv"/>
      <family val="2"/>
    </font>
    <font>
      <b/>
      <sz val="18"/>
      <color indexed="56"/>
      <name val="Cambria"/>
      <family val="2"/>
    </font>
    <font>
      <b/>
      <sz val="11"/>
      <color theme="7" tint="-0.249977111117893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8" tint="-0.499984740745262"/>
      <name val="Calibri"/>
      <family val="2"/>
      <scheme val="minor"/>
    </font>
    <font>
      <b/>
      <u/>
      <sz val="16"/>
      <color theme="7" tint="-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u/>
      <sz val="10"/>
      <color theme="10"/>
      <name val="Arial"/>
      <family val="2"/>
    </font>
    <font>
      <u/>
      <sz val="7.5"/>
      <color indexed="12"/>
      <name val="Arial"/>
      <family val="2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9"/>
      <name val="Calibri"/>
      <family val="2"/>
    </font>
    <font>
      <b/>
      <sz val="9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theme="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72">
    <xf numFmtId="0" fontId="0" fillId="0" borderId="0"/>
    <xf numFmtId="0" fontId="1" fillId="0" borderId="0"/>
    <xf numFmtId="0" fontId="14" fillId="0" borderId="0"/>
    <xf numFmtId="0" fontId="1" fillId="0" borderId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1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4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18" borderId="0" applyNumberFormat="0" applyBorder="0" applyAlignment="0" applyProtection="0"/>
    <xf numFmtId="0" fontId="13" fillId="24" borderId="0" applyNumberFormat="0" applyBorder="0" applyAlignment="0" applyProtection="0"/>
    <xf numFmtId="0" fontId="10" fillId="9" borderId="0" applyNumberFormat="0" applyBorder="0" applyAlignment="0" applyProtection="0"/>
    <xf numFmtId="0" fontId="17" fillId="12" borderId="8" applyNumberFormat="0" applyAlignment="0" applyProtection="0"/>
    <xf numFmtId="43" fontId="1" fillId="0" borderId="0" applyFont="0" applyFill="0" applyBorder="0" applyAlignment="0" applyProtection="0"/>
    <xf numFmtId="0" fontId="9" fillId="10" borderId="0" applyNumberFormat="0" applyBorder="0" applyAlignment="0" applyProtection="0"/>
    <xf numFmtId="0" fontId="18" fillId="0" borderId="19" applyNumberFormat="0" applyFill="0" applyAlignment="0" applyProtection="0"/>
    <xf numFmtId="0" fontId="19" fillId="0" borderId="20" applyNumberFormat="0" applyFill="0" applyAlignment="0" applyProtection="0"/>
    <xf numFmtId="0" fontId="20" fillId="0" borderId="21" applyNumberFormat="0" applyFill="0" applyAlignment="0" applyProtection="0"/>
    <xf numFmtId="0" fontId="20" fillId="0" borderId="0" applyNumberFormat="0" applyFill="0" applyBorder="0" applyAlignment="0" applyProtection="0"/>
    <xf numFmtId="0" fontId="11" fillId="12" borderId="8" applyNumberFormat="0" applyAlignment="0" applyProtection="0"/>
    <xf numFmtId="0" fontId="21" fillId="0" borderId="22" applyNumberFormat="0" applyFill="0" applyAlignment="0" applyProtection="0"/>
    <xf numFmtId="0" fontId="22" fillId="6" borderId="0" applyNumberFormat="0" applyBorder="0" applyAlignment="0" applyProtection="0"/>
    <xf numFmtId="0" fontId="23" fillId="0" borderId="0"/>
    <xf numFmtId="0" fontId="23" fillId="0" borderId="0"/>
    <xf numFmtId="0" fontId="1" fillId="0" borderId="0" applyNumberFormat="0" applyFont="0" applyFill="0" applyBorder="0" applyAlignment="0" applyProtection="0"/>
    <xf numFmtId="0" fontId="23" fillId="0" borderId="0"/>
    <xf numFmtId="0" fontId="1" fillId="0" borderId="0" applyNumberFormat="0" applyFont="0" applyFill="0" applyBorder="0" applyAlignment="0" applyProtection="0"/>
    <xf numFmtId="0" fontId="8" fillId="0" borderId="0"/>
    <xf numFmtId="0" fontId="1" fillId="0" borderId="0" applyNumberFormat="0" applyFont="0" applyFill="0" applyBorder="0" applyAlignment="0" applyProtection="0"/>
    <xf numFmtId="0" fontId="1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ont="0" applyFill="0" applyBorder="0" applyAlignment="0" applyProtection="0"/>
    <xf numFmtId="0" fontId="1" fillId="0" borderId="0"/>
    <xf numFmtId="0" fontId="1" fillId="0" borderId="0" applyNumberFormat="0" applyFont="0" applyFill="0" applyBorder="0" applyAlignment="0" applyProtection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ont="0" applyFill="0" applyBorder="0" applyAlignment="0" applyProtection="0"/>
    <xf numFmtId="0" fontId="24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ont="0" applyFill="0" applyBorder="0" applyAlignment="0" applyProtection="0"/>
    <xf numFmtId="0" fontId="1" fillId="0" borderId="0"/>
    <xf numFmtId="0" fontId="8" fillId="0" borderId="0"/>
    <xf numFmtId="0" fontId="25" fillId="7" borderId="10" applyNumberFormat="0" applyFont="0" applyAlignment="0" applyProtection="0"/>
    <xf numFmtId="0" fontId="12" fillId="12" borderId="9" applyNumberForma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/>
    <xf numFmtId="0" fontId="28" fillId="0" borderId="0"/>
    <xf numFmtId="0" fontId="29" fillId="0" borderId="0" applyNumberFormat="0" applyFill="0" applyBorder="0" applyAlignment="0" applyProtection="0"/>
    <xf numFmtId="0" fontId="4" fillId="0" borderId="23" applyNumberFormat="0" applyFill="0" applyAlignment="0" applyProtection="0"/>
    <xf numFmtId="0" fontId="3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 applyNumberFormat="0" applyFill="0" applyBorder="0" applyProtection="0">
      <alignment horizontal="left"/>
    </xf>
    <xf numFmtId="0" fontId="1" fillId="0" borderId="0" applyNumberFormat="0" applyFill="0" applyBorder="0" applyProtection="0">
      <alignment horizontal="left" vertical="center"/>
    </xf>
    <xf numFmtId="0" fontId="38" fillId="26" borderId="0" applyNumberFormat="0" applyBorder="0" applyProtection="0">
      <alignment horizontal="center" wrapText="1"/>
    </xf>
    <xf numFmtId="0" fontId="37" fillId="26" borderId="0" applyNumberFormat="0" applyBorder="0" applyProtection="0">
      <alignment horizontal="center" wrapText="1"/>
    </xf>
    <xf numFmtId="0" fontId="1" fillId="26" borderId="0" applyNumberFormat="0" applyBorder="0" applyProtection="0">
      <alignment horizontal="center" wrapText="1"/>
    </xf>
    <xf numFmtId="44" fontId="23" fillId="0" borderId="0" applyFont="0" applyFill="0" applyBorder="0" applyAlignment="0" applyProtection="0"/>
    <xf numFmtId="164" fontId="1" fillId="0" borderId="0" applyFill="0" applyBorder="0" applyProtection="0">
      <alignment horizontal="left" vertical="center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23" fillId="7" borderId="10" applyNumberFormat="0" applyFont="0" applyAlignment="0" applyProtection="0"/>
    <xf numFmtId="0" fontId="1" fillId="0" borderId="25" applyNumberFormat="0" applyFill="0" applyProtection="0">
      <alignment horizontal="left" vertical="center" wrapText="1"/>
    </xf>
    <xf numFmtId="0" fontId="4" fillId="0" borderId="29" applyNumberFormat="0" applyFill="0" applyAlignment="0" applyProtection="0"/>
    <xf numFmtId="0" fontId="1" fillId="0" borderId="1" applyNumberFormat="0" applyFill="0" applyProtection="0">
      <alignment horizontal="left" vertical="center" wrapText="1"/>
    </xf>
  </cellStyleXfs>
  <cellXfs count="133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5" fillId="3" borderId="0" xfId="2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 indent="1"/>
    </xf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indent="1"/>
    </xf>
    <xf numFmtId="0" fontId="3" fillId="0" borderId="1" xfId="0" quotePrefix="1" applyFont="1" applyBorder="1" applyAlignment="1">
      <alignment horizontal="left" vertical="center" wrapText="1" indent="1"/>
    </xf>
    <xf numFmtId="0" fontId="30" fillId="3" borderId="2" xfId="0" applyFont="1" applyFill="1" applyBorder="1" applyAlignment="1">
      <alignment horizontal="center" vertical="center" wrapText="1"/>
    </xf>
    <xf numFmtId="0" fontId="30" fillId="3" borderId="3" xfId="0" applyFont="1" applyFill="1" applyBorder="1" applyAlignment="1">
      <alignment horizontal="center" vertical="center" wrapText="1"/>
    </xf>
    <xf numFmtId="0" fontId="31" fillId="3" borderId="2" xfId="0" applyFont="1" applyFill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6" fillId="0" borderId="17" xfId="0" applyFont="1" applyBorder="1" applyAlignment="1">
      <alignment horizontal="left" vertical="center" indent="2"/>
    </xf>
    <xf numFmtId="0" fontId="3" fillId="0" borderId="17" xfId="0" applyFont="1" applyBorder="1"/>
    <xf numFmtId="0" fontId="0" fillId="0" borderId="17" xfId="0" applyBorder="1"/>
    <xf numFmtId="0" fontId="0" fillId="0" borderId="18" xfId="0" applyBorder="1"/>
    <xf numFmtId="0" fontId="35" fillId="0" borderId="0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  <xf numFmtId="0" fontId="36" fillId="0" borderId="0" xfId="0" applyFont="1"/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 indent="1"/>
    </xf>
    <xf numFmtId="0" fontId="16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1" fillId="0" borderId="0" xfId="0" applyFont="1" applyBorder="1" applyAlignment="1">
      <alignment horizontal="center" vertical="center"/>
    </xf>
    <xf numFmtId="0" fontId="4" fillId="0" borderId="0" xfId="0" applyFont="1"/>
    <xf numFmtId="0" fontId="3" fillId="0" borderId="0" xfId="0" applyFont="1"/>
    <xf numFmtId="0" fontId="3" fillId="0" borderId="33" xfId="0" applyFont="1" applyBorder="1" applyAlignment="1">
      <alignment horizontal="center"/>
    </xf>
    <xf numFmtId="0" fontId="43" fillId="0" borderId="34" xfId="0" applyFont="1" applyBorder="1" applyAlignment="1">
      <alignment vertical="center" wrapText="1"/>
    </xf>
    <xf numFmtId="0" fontId="2" fillId="25" borderId="36" xfId="0" applyFont="1" applyFill="1" applyBorder="1" applyAlignment="1">
      <alignment horizontal="center" vertical="center"/>
    </xf>
    <xf numFmtId="0" fontId="0" fillId="0" borderId="34" xfId="0" applyBorder="1" applyAlignment="1">
      <alignment horizontal="left" vertical="top" wrapText="1"/>
    </xf>
    <xf numFmtId="0" fontId="16" fillId="0" borderId="33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top"/>
    </xf>
    <xf numFmtId="0" fontId="3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horizontal="left" vertical="top" wrapText="1"/>
    </xf>
    <xf numFmtId="0" fontId="0" fillId="0" borderId="33" xfId="0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left" vertical="top" wrapText="1"/>
    </xf>
    <xf numFmtId="0" fontId="0" fillId="0" borderId="33" xfId="0" applyFill="1" applyBorder="1" applyAlignment="1">
      <alignment horizontal="center" vertical="center"/>
    </xf>
    <xf numFmtId="0" fontId="42" fillId="0" borderId="33" xfId="0" applyFont="1" applyFill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 wrapText="1"/>
    </xf>
    <xf numFmtId="0" fontId="2" fillId="25" borderId="33" xfId="0" applyFont="1" applyFill="1" applyBorder="1" applyAlignment="1">
      <alignment vertical="center"/>
    </xf>
    <xf numFmtId="0" fontId="3" fillId="25" borderId="35" xfId="0" applyFont="1" applyFill="1" applyBorder="1" applyAlignment="1">
      <alignment horizontal="center" vertical="center"/>
    </xf>
    <xf numFmtId="0" fontId="45" fillId="2" borderId="37" xfId="0" applyFont="1" applyFill="1" applyBorder="1" applyAlignment="1">
      <alignment horizontal="center" vertical="center" wrapText="1"/>
    </xf>
    <xf numFmtId="0" fontId="45" fillId="2" borderId="7" xfId="0" applyFont="1" applyFill="1" applyBorder="1" applyAlignment="1">
      <alignment horizontal="center" vertical="center" wrapText="1"/>
    </xf>
    <xf numFmtId="0" fontId="45" fillId="2" borderId="3" xfId="0" applyFont="1" applyFill="1" applyBorder="1" applyAlignment="1">
      <alignment horizontal="center" vertical="center" wrapText="1"/>
    </xf>
    <xf numFmtId="0" fontId="3" fillId="0" borderId="33" xfId="0" applyFont="1" applyBorder="1" applyAlignment="1">
      <alignment horizontal="left" wrapText="1"/>
    </xf>
    <xf numFmtId="0" fontId="3" fillId="0" borderId="33" xfId="0" applyFont="1" applyBorder="1" applyAlignment="1">
      <alignment vertical="top" wrapText="1"/>
    </xf>
    <xf numFmtId="0" fontId="3" fillId="0" borderId="33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top" wrapText="1"/>
    </xf>
    <xf numFmtId="0" fontId="45" fillId="2" borderId="33" xfId="0" applyFont="1" applyFill="1" applyBorder="1" applyAlignment="1">
      <alignment horizontal="center" vertical="center" wrapText="1"/>
    </xf>
    <xf numFmtId="0" fontId="45" fillId="31" borderId="37" xfId="0" applyFont="1" applyFill="1" applyBorder="1" applyAlignment="1">
      <alignment horizontal="center" vertical="center" wrapText="1"/>
    </xf>
    <xf numFmtId="0" fontId="46" fillId="0" borderId="33" xfId="0" applyFont="1" applyBorder="1" applyAlignment="1">
      <alignment horizontal="center" vertical="center"/>
    </xf>
    <xf numFmtId="16" fontId="3" fillId="0" borderId="33" xfId="0" quotePrefix="1" applyNumberFormat="1" applyFont="1" applyBorder="1" applyAlignment="1">
      <alignment horizontal="center" vertical="center"/>
    </xf>
    <xf numFmtId="0" fontId="0" fillId="0" borderId="33" xfId="0" applyFont="1" applyBorder="1" applyAlignment="1">
      <alignment vertical="center" wrapText="1"/>
    </xf>
    <xf numFmtId="0" fontId="2" fillId="2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vertical="top" wrapText="1"/>
    </xf>
    <xf numFmtId="0" fontId="3" fillId="0" borderId="0" xfId="0" applyFont="1" applyBorder="1" applyAlignment="1">
      <alignment vertical="top" wrapText="1"/>
    </xf>
    <xf numFmtId="0" fontId="6" fillId="0" borderId="33" xfId="0" applyFont="1" applyFill="1" applyBorder="1" applyAlignment="1">
      <alignment horizontal="left" vertical="center"/>
    </xf>
    <xf numFmtId="0" fontId="6" fillId="0" borderId="33" xfId="0" applyFont="1" applyFill="1" applyBorder="1" applyAlignment="1">
      <alignment horizontal="left" vertical="center" wrapText="1"/>
    </xf>
    <xf numFmtId="0" fontId="6" fillId="0" borderId="33" xfId="0" applyFont="1" applyFill="1" applyBorder="1" applyAlignment="1">
      <alignment horizontal="left"/>
    </xf>
    <xf numFmtId="0" fontId="45" fillId="2" borderId="27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/>
    </xf>
    <xf numFmtId="0" fontId="0" fillId="2" borderId="33" xfId="0" applyFill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45" fillId="2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48" fillId="0" borderId="33" xfId="0" applyFont="1" applyBorder="1" applyAlignment="1">
      <alignment horizontal="left" vertical="center" wrapText="1"/>
    </xf>
    <xf numFmtId="0" fontId="45" fillId="2" borderId="33" xfId="0" applyFont="1" applyFill="1" applyBorder="1" applyAlignment="1">
      <alignment horizontal="center"/>
    </xf>
    <xf numFmtId="0" fontId="7" fillId="0" borderId="33" xfId="0" applyFont="1" applyBorder="1" applyAlignment="1">
      <alignment horizontal="center" vertical="center"/>
    </xf>
    <xf numFmtId="0" fontId="4" fillId="32" borderId="33" xfId="0" applyFont="1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3" fillId="0" borderId="35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35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4" fillId="30" borderId="30" xfId="0" applyFont="1" applyFill="1" applyBorder="1" applyAlignment="1">
      <alignment horizontal="center"/>
    </xf>
    <xf numFmtId="0" fontId="4" fillId="30" borderId="31" xfId="0" applyFont="1" applyFill="1" applyBorder="1" applyAlignment="1">
      <alignment horizontal="center"/>
    </xf>
    <xf numFmtId="0" fontId="4" fillId="30" borderId="32" xfId="0" applyFont="1" applyFill="1" applyBorder="1" applyAlignment="1">
      <alignment horizontal="center"/>
    </xf>
    <xf numFmtId="0" fontId="3" fillId="0" borderId="35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25" borderId="34" xfId="0" applyFont="1" applyFill="1" applyBorder="1" applyAlignment="1">
      <alignment horizontal="center" vertical="center"/>
    </xf>
    <xf numFmtId="0" fontId="2" fillId="25" borderId="36" xfId="0" applyFont="1" applyFill="1" applyBorder="1" applyAlignment="1">
      <alignment horizontal="center" vertical="center"/>
    </xf>
    <xf numFmtId="0" fontId="2" fillId="25" borderId="26" xfId="0" applyFont="1" applyFill="1" applyBorder="1" applyAlignment="1">
      <alignment horizontal="center" vertical="center"/>
    </xf>
    <xf numFmtId="0" fontId="34" fillId="2" borderId="4" xfId="97" applyFont="1" applyFill="1" applyBorder="1" applyAlignment="1">
      <alignment horizontal="center" vertical="center" textRotation="90" wrapText="1"/>
    </xf>
    <xf numFmtId="0" fontId="0" fillId="28" borderId="24" xfId="0" applyFill="1" applyBorder="1" applyAlignment="1">
      <alignment horizontal="center" vertical="center" wrapText="1"/>
    </xf>
    <xf numFmtId="0" fontId="0" fillId="28" borderId="3" xfId="0" applyFill="1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 wrapText="1"/>
    </xf>
    <xf numFmtId="0" fontId="0" fillId="3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 wrapText="1"/>
    </xf>
    <xf numFmtId="0" fontId="0" fillId="4" borderId="0" xfId="0" applyFill="1" applyBorder="1" applyAlignment="1">
      <alignment vertical="center" wrapText="1"/>
    </xf>
    <xf numFmtId="0" fontId="33" fillId="2" borderId="1" xfId="97" applyFont="1" applyFill="1" applyBorder="1" applyAlignment="1">
      <alignment horizontal="center" vertical="center" wrapText="1"/>
    </xf>
    <xf numFmtId="0" fontId="4" fillId="5" borderId="33" xfId="0" applyFont="1" applyFill="1" applyBorder="1" applyAlignment="1">
      <alignment horizontal="center" vertical="center"/>
    </xf>
  </cellXfs>
  <cellStyles count="172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6 2" xfId="8" xr:uid="{00000000-0005-0000-0000-000004000000}"/>
    <cellStyle name="40% - Accent1 2" xfId="9" xr:uid="{00000000-0005-0000-0000-000005000000}"/>
    <cellStyle name="40% - Accent3 2" xfId="10" xr:uid="{00000000-0005-0000-0000-000006000000}"/>
    <cellStyle name="40% - Accent4 2" xfId="11" xr:uid="{00000000-0005-0000-0000-000007000000}"/>
    <cellStyle name="40% - Accent5 2" xfId="12" xr:uid="{00000000-0005-0000-0000-000008000000}"/>
    <cellStyle name="40% - Accent6 2" xfId="13" xr:uid="{00000000-0005-0000-0000-000009000000}"/>
    <cellStyle name="60% - Accent1 2" xfId="14" xr:uid="{00000000-0005-0000-0000-00000A000000}"/>
    <cellStyle name="60% - Accent2 2" xfId="15" xr:uid="{00000000-0005-0000-0000-00000B000000}"/>
    <cellStyle name="60% - Accent3 2" xfId="16" xr:uid="{00000000-0005-0000-0000-00000C000000}"/>
    <cellStyle name="60% - Accent4 2" xfId="17" xr:uid="{00000000-0005-0000-0000-00000D000000}"/>
    <cellStyle name="60% - Accent5 2" xfId="18" xr:uid="{00000000-0005-0000-0000-00000E000000}"/>
    <cellStyle name="60% - Accent6 2" xfId="19" xr:uid="{00000000-0005-0000-0000-00000F000000}"/>
    <cellStyle name="Accent1 2" xfId="20" xr:uid="{00000000-0005-0000-0000-000010000000}"/>
    <cellStyle name="Accent2 2" xfId="21" xr:uid="{00000000-0005-0000-0000-000011000000}"/>
    <cellStyle name="Accent3 2" xfId="22" xr:uid="{00000000-0005-0000-0000-000012000000}"/>
    <cellStyle name="Accent4 2" xfId="23" xr:uid="{00000000-0005-0000-0000-000013000000}"/>
    <cellStyle name="Accent6 2" xfId="24" xr:uid="{00000000-0005-0000-0000-000014000000}"/>
    <cellStyle name="Bad 2" xfId="25" xr:uid="{00000000-0005-0000-0000-000015000000}"/>
    <cellStyle name="Calculation 2" xfId="26" xr:uid="{00000000-0005-0000-0000-000016000000}"/>
    <cellStyle name="CellStyle" xfId="100" xr:uid="{00000000-0005-0000-0000-000017000000}"/>
    <cellStyle name="CellWithBorderStyle" xfId="101" xr:uid="{00000000-0005-0000-0000-000018000000}"/>
    <cellStyle name="ColumnHeaderBoldFillStyle" xfId="102" xr:uid="{00000000-0005-0000-0000-000019000000}"/>
    <cellStyle name="ColumnHeaderBoldFillStyleSmall" xfId="103" xr:uid="{00000000-0005-0000-0000-00001A000000}"/>
    <cellStyle name="ColumnHeaderFillStyle" xfId="104" xr:uid="{00000000-0005-0000-0000-00001B000000}"/>
    <cellStyle name="Comma 2" xfId="27" xr:uid="{00000000-0005-0000-0000-00001C000000}"/>
    <cellStyle name="Currency 2" xfId="105" xr:uid="{00000000-0005-0000-0000-00001D000000}"/>
    <cellStyle name="DefaultStyle" xfId="106" xr:uid="{00000000-0005-0000-0000-00001E000000}"/>
    <cellStyle name="Good 2" xfId="28" xr:uid="{00000000-0005-0000-0000-00001F000000}"/>
    <cellStyle name="Heading 1 2" xfId="29" xr:uid="{00000000-0005-0000-0000-000020000000}"/>
    <cellStyle name="Heading 2 2" xfId="30" xr:uid="{00000000-0005-0000-0000-000021000000}"/>
    <cellStyle name="Heading 3 2" xfId="31" xr:uid="{00000000-0005-0000-0000-000022000000}"/>
    <cellStyle name="Heading 4 2" xfId="32" xr:uid="{00000000-0005-0000-0000-000023000000}"/>
    <cellStyle name="Hyperlink" xfId="97" builtinId="8"/>
    <cellStyle name="Hyperlink 2" xfId="107" xr:uid="{00000000-0005-0000-0000-000025000000}"/>
    <cellStyle name="Hyperlink 2 2" xfId="108" xr:uid="{00000000-0005-0000-0000-000026000000}"/>
    <cellStyle name="Input 2" xfId="33" xr:uid="{00000000-0005-0000-0000-000027000000}"/>
    <cellStyle name="Linked Cell 2" xfId="34" xr:uid="{00000000-0005-0000-0000-000028000000}"/>
    <cellStyle name="Neutral 2" xfId="35" xr:uid="{00000000-0005-0000-0000-000029000000}"/>
    <cellStyle name="Normal" xfId="0" builtinId="0"/>
    <cellStyle name="Normal 10" xfId="36" xr:uid="{00000000-0005-0000-0000-00002B000000}"/>
    <cellStyle name="Normal 10 2" xfId="37" xr:uid="{00000000-0005-0000-0000-00002C000000}"/>
    <cellStyle name="Normal 11" xfId="38" xr:uid="{00000000-0005-0000-0000-00002D000000}"/>
    <cellStyle name="Normal 12" xfId="39" xr:uid="{00000000-0005-0000-0000-00002E000000}"/>
    <cellStyle name="Normal 13" xfId="40" xr:uid="{00000000-0005-0000-0000-00002F000000}"/>
    <cellStyle name="Normal 14" xfId="41" xr:uid="{00000000-0005-0000-0000-000030000000}"/>
    <cellStyle name="Normal 2" xfId="1" xr:uid="{00000000-0005-0000-0000-000031000000}"/>
    <cellStyle name="Normal 2 2" xfId="2" xr:uid="{00000000-0005-0000-0000-000032000000}"/>
    <cellStyle name="Normal 2 2 2" xfId="43" xr:uid="{00000000-0005-0000-0000-000033000000}"/>
    <cellStyle name="Normal 2 3" xfId="44" xr:uid="{00000000-0005-0000-0000-000034000000}"/>
    <cellStyle name="Normal 2 3 2" xfId="45" xr:uid="{00000000-0005-0000-0000-000035000000}"/>
    <cellStyle name="Normal 2 3 2 2" xfId="46" xr:uid="{00000000-0005-0000-0000-000036000000}"/>
    <cellStyle name="Normal 2 3 3" xfId="47" xr:uid="{00000000-0005-0000-0000-000037000000}"/>
    <cellStyle name="Normal 2 4" xfId="48" xr:uid="{00000000-0005-0000-0000-000038000000}"/>
    <cellStyle name="Normal 2 5" xfId="49" xr:uid="{00000000-0005-0000-0000-000039000000}"/>
    <cellStyle name="Normal 2 6" xfId="42" xr:uid="{00000000-0005-0000-0000-00003A000000}"/>
    <cellStyle name="Normal 3" xfId="50" xr:uid="{00000000-0005-0000-0000-00003B000000}"/>
    <cellStyle name="Normal 3 2" xfId="98" xr:uid="{00000000-0005-0000-0000-00003C000000}"/>
    <cellStyle name="Normal 4" xfId="51" xr:uid="{00000000-0005-0000-0000-00003D000000}"/>
    <cellStyle name="Normal 4 2" xfId="52" xr:uid="{00000000-0005-0000-0000-00003E000000}"/>
    <cellStyle name="Normal 4 2 2" xfId="53" xr:uid="{00000000-0005-0000-0000-00003F000000}"/>
    <cellStyle name="Normal 4 2 2 2" xfId="54" xr:uid="{00000000-0005-0000-0000-000040000000}"/>
    <cellStyle name="Normal 4 2 3" xfId="55" xr:uid="{00000000-0005-0000-0000-000041000000}"/>
    <cellStyle name="Normal 4 3" xfId="3" xr:uid="{00000000-0005-0000-0000-000042000000}"/>
    <cellStyle name="Normal 4 4" xfId="56" xr:uid="{00000000-0005-0000-0000-000043000000}"/>
    <cellStyle name="Normal 4 4 2" xfId="57" xr:uid="{00000000-0005-0000-0000-000044000000}"/>
    <cellStyle name="Normal 4 5" xfId="58" xr:uid="{00000000-0005-0000-0000-000045000000}"/>
    <cellStyle name="Normal 5" xfId="59" xr:uid="{00000000-0005-0000-0000-000046000000}"/>
    <cellStyle name="Normal 5 2" xfId="60" xr:uid="{00000000-0005-0000-0000-000047000000}"/>
    <cellStyle name="Normal 5 3" xfId="99" xr:uid="{00000000-0005-0000-0000-000048000000}"/>
    <cellStyle name="Normal 6" xfId="61" xr:uid="{00000000-0005-0000-0000-000049000000}"/>
    <cellStyle name="Normal 6 2" xfId="62" xr:uid="{00000000-0005-0000-0000-00004A000000}"/>
    <cellStyle name="Normal 6 2 2" xfId="63" xr:uid="{00000000-0005-0000-0000-00004B000000}"/>
    <cellStyle name="Normal 6 3" xfId="64" xr:uid="{00000000-0005-0000-0000-00004C000000}"/>
    <cellStyle name="Normal 7" xfId="65" xr:uid="{00000000-0005-0000-0000-00004D000000}"/>
    <cellStyle name="Normal 7 2" xfId="66" xr:uid="{00000000-0005-0000-0000-00004E000000}"/>
    <cellStyle name="Normal 7 2 2" xfId="67" xr:uid="{00000000-0005-0000-0000-00004F000000}"/>
    <cellStyle name="Normal 7 3" xfId="68" xr:uid="{00000000-0005-0000-0000-000050000000}"/>
    <cellStyle name="Normal 8" xfId="69" xr:uid="{00000000-0005-0000-0000-000051000000}"/>
    <cellStyle name="Normal 8 2" xfId="70" xr:uid="{00000000-0005-0000-0000-000052000000}"/>
    <cellStyle name="Normal 8 2 2" xfId="71" xr:uid="{00000000-0005-0000-0000-000053000000}"/>
    <cellStyle name="Normal 8 2 2 2" xfId="72" xr:uid="{00000000-0005-0000-0000-000054000000}"/>
    <cellStyle name="Normal 8 2 3" xfId="73" xr:uid="{00000000-0005-0000-0000-000055000000}"/>
    <cellStyle name="Normal 8 3" xfId="74" xr:uid="{00000000-0005-0000-0000-000056000000}"/>
    <cellStyle name="Normal 8 3 2" xfId="75" xr:uid="{00000000-0005-0000-0000-000057000000}"/>
    <cellStyle name="Normal 8 3 2 2" xfId="76" xr:uid="{00000000-0005-0000-0000-000058000000}"/>
    <cellStyle name="Normal 8 3 3" xfId="77" xr:uid="{00000000-0005-0000-0000-000059000000}"/>
    <cellStyle name="Normal 8 4" xfId="78" xr:uid="{00000000-0005-0000-0000-00005A000000}"/>
    <cellStyle name="Normal 8 4 2" xfId="79" xr:uid="{00000000-0005-0000-0000-00005B000000}"/>
    <cellStyle name="Normal 8 5" xfId="80" xr:uid="{00000000-0005-0000-0000-00005C000000}"/>
    <cellStyle name="Normal 9" xfId="81" xr:uid="{00000000-0005-0000-0000-00005D000000}"/>
    <cellStyle name="Normal 9 2" xfId="82" xr:uid="{00000000-0005-0000-0000-00005E000000}"/>
    <cellStyle name="Normal 9 3" xfId="83" xr:uid="{00000000-0005-0000-0000-00005F000000}"/>
    <cellStyle name="Note 10" xfId="109" xr:uid="{00000000-0005-0000-0000-000060000000}"/>
    <cellStyle name="Note 11" xfId="110" xr:uid="{00000000-0005-0000-0000-000061000000}"/>
    <cellStyle name="Note 12" xfId="111" xr:uid="{00000000-0005-0000-0000-000062000000}"/>
    <cellStyle name="Note 13" xfId="112" xr:uid="{00000000-0005-0000-0000-000063000000}"/>
    <cellStyle name="Note 14" xfId="113" xr:uid="{00000000-0005-0000-0000-000064000000}"/>
    <cellStyle name="Note 15" xfId="114" xr:uid="{00000000-0005-0000-0000-000065000000}"/>
    <cellStyle name="Note 16" xfId="115" xr:uid="{00000000-0005-0000-0000-000066000000}"/>
    <cellStyle name="Note 17" xfId="116" xr:uid="{00000000-0005-0000-0000-000067000000}"/>
    <cellStyle name="Note 18" xfId="117" xr:uid="{00000000-0005-0000-0000-000068000000}"/>
    <cellStyle name="Note 19" xfId="118" xr:uid="{00000000-0005-0000-0000-000069000000}"/>
    <cellStyle name="Note 2" xfId="84" xr:uid="{00000000-0005-0000-0000-00006A000000}"/>
    <cellStyle name="Note 20" xfId="119" xr:uid="{00000000-0005-0000-0000-00006B000000}"/>
    <cellStyle name="Note 21" xfId="120" xr:uid="{00000000-0005-0000-0000-00006C000000}"/>
    <cellStyle name="Note 22" xfId="121" xr:uid="{00000000-0005-0000-0000-00006D000000}"/>
    <cellStyle name="Note 23" xfId="122" xr:uid="{00000000-0005-0000-0000-00006E000000}"/>
    <cellStyle name="Note 24" xfId="123" xr:uid="{00000000-0005-0000-0000-00006F000000}"/>
    <cellStyle name="Note 25" xfId="124" xr:uid="{00000000-0005-0000-0000-000070000000}"/>
    <cellStyle name="Note 26" xfId="125" xr:uid="{00000000-0005-0000-0000-000071000000}"/>
    <cellStyle name="Note 27" xfId="126" xr:uid="{00000000-0005-0000-0000-000072000000}"/>
    <cellStyle name="Note 28" xfId="127" xr:uid="{00000000-0005-0000-0000-000073000000}"/>
    <cellStyle name="Note 29" xfId="128" xr:uid="{00000000-0005-0000-0000-000074000000}"/>
    <cellStyle name="Note 3" xfId="129" xr:uid="{00000000-0005-0000-0000-000075000000}"/>
    <cellStyle name="Note 30" xfId="130" xr:uid="{00000000-0005-0000-0000-000076000000}"/>
    <cellStyle name="Note 31" xfId="131" xr:uid="{00000000-0005-0000-0000-000077000000}"/>
    <cellStyle name="Note 32" xfId="132" xr:uid="{00000000-0005-0000-0000-000078000000}"/>
    <cellStyle name="Note 33" xfId="133" xr:uid="{00000000-0005-0000-0000-000079000000}"/>
    <cellStyle name="Note 34" xfId="134" xr:uid="{00000000-0005-0000-0000-00007A000000}"/>
    <cellStyle name="Note 35" xfId="135" xr:uid="{00000000-0005-0000-0000-00007B000000}"/>
    <cellStyle name="Note 36" xfId="136" xr:uid="{00000000-0005-0000-0000-00007C000000}"/>
    <cellStyle name="Note 37" xfId="137" xr:uid="{00000000-0005-0000-0000-00007D000000}"/>
    <cellStyle name="Note 38" xfId="138" xr:uid="{00000000-0005-0000-0000-00007E000000}"/>
    <cellStyle name="Note 39" xfId="139" xr:uid="{00000000-0005-0000-0000-00007F000000}"/>
    <cellStyle name="Note 4" xfId="140" xr:uid="{00000000-0005-0000-0000-000080000000}"/>
    <cellStyle name="Note 40" xfId="141" xr:uid="{00000000-0005-0000-0000-000081000000}"/>
    <cellStyle name="Note 41" xfId="142" xr:uid="{00000000-0005-0000-0000-000082000000}"/>
    <cellStyle name="Note 42" xfId="143" xr:uid="{00000000-0005-0000-0000-000083000000}"/>
    <cellStyle name="Note 43" xfId="144" xr:uid="{00000000-0005-0000-0000-000084000000}"/>
    <cellStyle name="Note 44" xfId="145" xr:uid="{00000000-0005-0000-0000-000085000000}"/>
    <cellStyle name="Note 45" xfId="146" xr:uid="{00000000-0005-0000-0000-000086000000}"/>
    <cellStyle name="Note 46" xfId="147" xr:uid="{00000000-0005-0000-0000-000087000000}"/>
    <cellStyle name="Note 47" xfId="148" xr:uid="{00000000-0005-0000-0000-000088000000}"/>
    <cellStyle name="Note 48" xfId="149" xr:uid="{00000000-0005-0000-0000-000089000000}"/>
    <cellStyle name="Note 49" xfId="150" xr:uid="{00000000-0005-0000-0000-00008A000000}"/>
    <cellStyle name="Note 5" xfId="151" xr:uid="{00000000-0005-0000-0000-00008B000000}"/>
    <cellStyle name="Note 50" xfId="152" xr:uid="{00000000-0005-0000-0000-00008C000000}"/>
    <cellStyle name="Note 51" xfId="153" xr:uid="{00000000-0005-0000-0000-00008D000000}"/>
    <cellStyle name="Note 52" xfId="154" xr:uid="{00000000-0005-0000-0000-00008E000000}"/>
    <cellStyle name="Note 53" xfId="155" xr:uid="{00000000-0005-0000-0000-00008F000000}"/>
    <cellStyle name="Note 54" xfId="156" xr:uid="{00000000-0005-0000-0000-000090000000}"/>
    <cellStyle name="Note 55" xfId="157" xr:uid="{00000000-0005-0000-0000-000091000000}"/>
    <cellStyle name="Note 56" xfId="158" xr:uid="{00000000-0005-0000-0000-000092000000}"/>
    <cellStyle name="Note 57" xfId="159" xr:uid="{00000000-0005-0000-0000-000093000000}"/>
    <cellStyle name="Note 58" xfId="160" xr:uid="{00000000-0005-0000-0000-000094000000}"/>
    <cellStyle name="Note 59" xfId="161" xr:uid="{00000000-0005-0000-0000-000095000000}"/>
    <cellStyle name="Note 6" xfId="162" xr:uid="{00000000-0005-0000-0000-000096000000}"/>
    <cellStyle name="Note 60" xfId="163" xr:uid="{00000000-0005-0000-0000-000097000000}"/>
    <cellStyle name="Note 61" xfId="164" xr:uid="{00000000-0005-0000-0000-000098000000}"/>
    <cellStyle name="Note 62" xfId="165" xr:uid="{00000000-0005-0000-0000-000099000000}"/>
    <cellStyle name="Note 7" xfId="166" xr:uid="{00000000-0005-0000-0000-00009A000000}"/>
    <cellStyle name="Note 8" xfId="167" xr:uid="{00000000-0005-0000-0000-00009B000000}"/>
    <cellStyle name="Note 9" xfId="168" xr:uid="{00000000-0005-0000-0000-00009C000000}"/>
    <cellStyle name="Output 2" xfId="85" xr:uid="{00000000-0005-0000-0000-00009D000000}"/>
    <cellStyle name="Percent 2" xfId="86" xr:uid="{00000000-0005-0000-0000-00009E000000}"/>
    <cellStyle name="Percent 2 2" xfId="87" xr:uid="{00000000-0005-0000-0000-00009F000000}"/>
    <cellStyle name="Percent 2 3" xfId="88" xr:uid="{00000000-0005-0000-0000-0000A0000000}"/>
    <cellStyle name="Percent 3" xfId="89" xr:uid="{00000000-0005-0000-0000-0000A1000000}"/>
    <cellStyle name="Percent 4" xfId="90" xr:uid="{00000000-0005-0000-0000-0000A2000000}"/>
    <cellStyle name="Percent 5" xfId="91" xr:uid="{00000000-0005-0000-0000-0000A3000000}"/>
    <cellStyle name="Percent 6" xfId="92" xr:uid="{00000000-0005-0000-0000-0000A4000000}"/>
    <cellStyle name="Standard_Tabelle1" xfId="93" xr:uid="{00000000-0005-0000-0000-0000A5000000}"/>
    <cellStyle name="Style 1" xfId="94" xr:uid="{00000000-0005-0000-0000-0000A6000000}"/>
    <cellStyle name="Title 2" xfId="95" xr:uid="{00000000-0005-0000-0000-0000A7000000}"/>
    <cellStyle name="Total 2" xfId="96" xr:uid="{00000000-0005-0000-0000-0000A8000000}"/>
    <cellStyle name="Total 2 2" xfId="170" xr:uid="{00000000-0005-0000-0000-0000A9000000}"/>
    <cellStyle name="WrappedCellStyle" xfId="169" xr:uid="{00000000-0005-0000-0000-0000AA000000}"/>
    <cellStyle name="WrappedCellStyle 2" xfId="171" xr:uid="{00000000-0005-0000-0000-0000AB000000}"/>
  </cellStyles>
  <dxfs count="10">
    <dxf>
      <alignment horizontal="center" readingOrder="0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92D050"/>
      <color rgb="FFFFEB84"/>
      <color rgb="FFFBFBFB"/>
      <color rgb="FFFFDB29"/>
      <color rgb="FF006600"/>
      <color rgb="FFFF6600"/>
      <color rgb="FFFFFF99"/>
      <color rgb="FFCCFF33"/>
      <color rgb="FF7D7A00"/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R1</c:v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'Graphical Risks '!$D$3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'Graphical Risks '!$C$3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CC-497F-8932-3F257A507689}"/>
            </c:ext>
          </c:extLst>
        </c:ser>
        <c:ser>
          <c:idx val="1"/>
          <c:order val="1"/>
          <c:tx>
            <c:v>R2</c:v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CC-497F-8932-3F257A5076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'Graphical Risks '!$D$4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'Graphical Risks '!$C$4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CC-497F-8932-3F257A507689}"/>
            </c:ext>
          </c:extLst>
        </c:ser>
        <c:ser>
          <c:idx val="2"/>
          <c:order val="2"/>
          <c:tx>
            <c:v>R3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'Graphical Risks '!$D$5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'Graphical Risks '!$C$5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ACC-497F-8932-3F257A50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042256"/>
        <c:axId val="427034384"/>
      </c:scatterChart>
      <c:valAx>
        <c:axId val="427042256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34384"/>
        <c:crosses val="autoZero"/>
        <c:crossBetween val="midCat"/>
        <c:majorUnit val="1"/>
        <c:minorUnit val="0.5"/>
      </c:valAx>
      <c:valAx>
        <c:axId val="427034384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42256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504825</xdr:colOff>
      <xdr:row>7</xdr:row>
      <xdr:rowOff>0</xdr:rowOff>
    </xdr:from>
    <xdr:ext cx="18473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962150" y="6981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0</xdr:colOff>
      <xdr:row>6</xdr:row>
      <xdr:rowOff>104775</xdr:rowOff>
    </xdr:from>
    <xdr:to>
      <xdr:col>13</xdr:col>
      <xdr:colOff>514350</xdr:colOff>
      <xdr:row>20</xdr:row>
      <xdr:rowOff>66675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095375"/>
          <a:ext cx="7324725" cy="2628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risk analysis was conducted using the NIST 800-30 guidance.  </a:t>
          </a:r>
          <a:r>
            <a:rPr lang="en-US" sz="1100" i="1" baseline="0"/>
            <a:t>Document process for conducting the analysis, predisposing conditions and other details necessary for the user to understand how the analysis was conducted. </a:t>
          </a:r>
          <a:endParaRPr lang="en-US" sz="1100" baseline="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71436</xdr:colOff>
      <xdr:row>23</xdr:row>
      <xdr:rowOff>0</xdr:rowOff>
    </xdr:from>
    <xdr:ext cx="1459374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571624" y="12346782"/>
          <a:ext cx="145937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chemeClr val="bg1"/>
              </a:solidFill>
            </a:rPr>
            <a:t>Improve and Mitigate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269875</xdr:colOff>
      <xdr:row>0</xdr:row>
      <xdr:rowOff>104775</xdr:rowOff>
    </xdr:from>
    <xdr:to>
      <xdr:col>11</xdr:col>
      <xdr:colOff>574675</xdr:colOff>
      <xdr:row>7</xdr:row>
      <xdr:rowOff>130175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ine Ermatinger" refreshedDate="41872.657856712962" createdVersion="4" refreshedVersion="4" minRefreshableVersion="3" recordCount="71" xr:uid="{00000000-000A-0000-FFFF-FFFF00000000}">
  <cacheSource type="worksheet">
    <worksheetSource ref="B7:D78" sheet="Vulnerabilities"/>
  </cacheSource>
  <cacheFields count="6">
    <cacheField name="Ref." numFmtId="0">
      <sharedItems/>
    </cacheField>
    <cacheField name="Vulnerability" numFmtId="0">
      <sharedItems/>
    </cacheField>
    <cacheField name="Level 1: IRM Risk Category" numFmtId="0">
      <sharedItems count="5">
        <s v="Service/Solutions Delivery Lifecycle"/>
        <s v="Governance"/>
        <s v="Financial"/>
        <s v="External"/>
        <s v="Operations"/>
      </sharedItems>
    </cacheField>
    <cacheField name="Level 2: Technology Risk Category" numFmtId="0">
      <sharedItems count="17">
        <s v="Development/ Customization (Application, Database, Operating System, Infrastructure)"/>
        <s v="Requirements Development"/>
        <s v="Validation"/>
        <s v="Accountability &amp; Oversight"/>
        <s v="Information and Data Management"/>
        <s v="IT Financial Management"/>
        <s v="Legal &amp; Regulatory Compliance"/>
        <s v="Operational Security Management"/>
        <s v="Policies, Standards  &amp; Procedures"/>
        <s v="Risk Management"/>
        <s v="Information Technology Security Management"/>
        <s v="Physical and Environmental Security"/>
        <s v="Security Incident Management"/>
        <s v="Security Organization"/>
        <s v="Availability Management"/>
        <s v="IT Service Continuity Management"/>
        <s v="Change Management"/>
      </sharedItems>
    </cacheField>
    <cacheField name="Related Sub-Process" numFmtId="0">
      <sharedItems count="72">
        <s v="Configuration"/>
        <s v="Design Specifications and Definition"/>
        <s v="Development"/>
        <s v="Implementation and Support Deployment Planning"/>
        <s v="Knowledge Transfer"/>
        <s v="Requirements Identification"/>
        <s v="Requirements Definition, Assessment, and Prioritization"/>
        <s v="Requirements Approval"/>
        <s v="Development Testing"/>
        <s v="QA Testing"/>
        <s v="Requirements Validation"/>
        <s v="Test Environment Support"/>
        <s v="Test Planning "/>
        <s v="IT Ownership"/>
        <s v="IT Structure"/>
        <s v="Data Management"/>
        <s v="Information Architecture"/>
        <s v="Information Exchange"/>
        <s v="IT Budget"/>
        <s v="Compliance Monitoring and Resolution"/>
        <s v="Compliance Requirements"/>
        <s v="Policy Management"/>
        <s v="Policy Review"/>
        <s v="Risk Assessment"/>
        <s v="Risk Identification, Event Management, and Profiling"/>
        <s v="Risk Management  Framework"/>
        <s v="Risk Management Roles and Responsibilities"/>
        <s v="Risk Treatment"/>
        <s v="Application Processing Integrity"/>
        <s v="Cryptography Solutions"/>
        <s v="File and Source Code Security"/>
        <s v="Technical Vulnerability Management"/>
        <s v="Technology Security Definitions"/>
        <s v="Application Authorization and Access Management"/>
        <s v="Authentication"/>
        <s v="Database Authorization and Access Management"/>
        <s v="Device Protection (Laptops, PDAs, etc.)"/>
        <s v="Electronic Transportable Media Protection (USB, CD, DVD, hard disk, etc.)"/>
        <s v="Identity Management"/>
        <s v="Malicious Code Protection"/>
        <s v="Network Authorization and Access Management"/>
        <s v="Network Security Oversight"/>
        <s v="Operating System Authorization and Access Management"/>
        <s v="Privileged and Emergency Access"/>
        <s v="Remote Access Authorization and Management"/>
        <s v="Security Monitoring"/>
        <s v="Segregation of Duties"/>
        <s v="Equipment Management"/>
        <s v="Physical Access Administration"/>
        <s v="Physical Security Management"/>
        <s v="Information Security Incident and Event Reporting"/>
        <s v="Management of Security Incidents"/>
        <s v="Security Improvements"/>
        <s v="Coordination and Contact with Authorities and Regulatory Bodies"/>
        <s v="Independent Review of Security Program"/>
        <s v="Security Education &amp; Awareness "/>
        <s v="Technology Information Disclosure"/>
        <s v="Availability Monitoring"/>
        <s v="Availability Requirements"/>
        <s v="Preventative Maintenance"/>
        <s v="Back-up Operations Management"/>
        <s v="Business Continuity Plan Management"/>
        <s v="Business Impact Analysis"/>
        <s v="Disaster Recovery Management"/>
        <s v="Monitor and Reporting"/>
        <s v="User Disaster Recovery and Business Continuity Plan  Training"/>
        <s v="Change Approval"/>
        <s v="Change Monitoring"/>
        <s v="Change Request"/>
        <s v="Emergency Change Scheduling"/>
        <s v="Availability and Communication" u="1"/>
        <s v="Request Prioritization" u="1"/>
      </sharedItems>
    </cacheField>
    <cacheField name="# of KP Observations" numFmtId="0">
      <sharedItems containsSemiMixedTypes="0" containsString="0" containsNumber="1" containsInteger="1" minValue="0" maxValue="7" count="7">
        <n v="2"/>
        <n v="0"/>
        <n v="1"/>
        <n v="4"/>
        <n v="7"/>
        <n v="3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">
  <r>
    <s v="V01"/>
    <s v="Infrastructure and applications are inappropriately configured"/>
    <x v="0"/>
    <x v="0"/>
    <x v="0"/>
    <x v="0"/>
  </r>
  <r>
    <s v="V02"/>
    <s v="Design specifications are not effectively developed, reviewed, and approved"/>
    <x v="0"/>
    <x v="0"/>
    <x v="1"/>
    <x v="1"/>
  </r>
  <r>
    <s v="V03"/>
    <s v="Solutions are not appropriately developed according to standards and requirements"/>
    <x v="0"/>
    <x v="0"/>
    <x v="2"/>
    <x v="2"/>
  </r>
  <r>
    <s v="V04"/>
    <s v="Implementation and deployment planning is not performed"/>
    <x v="0"/>
    <x v="0"/>
    <x v="3"/>
    <x v="2"/>
  </r>
  <r>
    <s v="V05"/>
    <s v="Users and support staff are not adequately educated on new systems/ functionalities"/>
    <x v="0"/>
    <x v="0"/>
    <x v="4"/>
    <x v="1"/>
  </r>
  <r>
    <s v="V06"/>
    <s v="Requirements for changes and new system developments are not adequately identified"/>
    <x v="0"/>
    <x v="1"/>
    <x v="5"/>
    <x v="2"/>
  </r>
  <r>
    <s v="V07"/>
    <s v="Change requirements are not appropriately reviewed and prioritized"/>
    <x v="0"/>
    <x v="1"/>
    <x v="6"/>
    <x v="1"/>
  </r>
  <r>
    <s v="V08"/>
    <s v="Key stakeholders do not approve change"/>
    <x v="0"/>
    <x v="1"/>
    <x v="7"/>
    <x v="1"/>
  </r>
  <r>
    <s v="V09"/>
    <s v="Changes and configurations are not developed to satisfy business requirements"/>
    <x v="0"/>
    <x v="2"/>
    <x v="8"/>
    <x v="1"/>
  </r>
  <r>
    <s v="V10"/>
    <s v="QA testing is not performed"/>
    <x v="0"/>
    <x v="2"/>
    <x v="9"/>
    <x v="1"/>
  </r>
  <r>
    <s v="V11"/>
    <s v="Requirements are not validated and approved by key stakeholders"/>
    <x v="0"/>
    <x v="2"/>
    <x v="10"/>
    <x v="1"/>
  </r>
  <r>
    <s v="V12"/>
    <s v="The test environment does not support testing standards and requirements"/>
    <x v="0"/>
    <x v="2"/>
    <x v="11"/>
    <x v="2"/>
  </r>
  <r>
    <s v="V13"/>
    <s v="Testing plans are not effectively created"/>
    <x v="0"/>
    <x v="2"/>
    <x v="12"/>
    <x v="1"/>
  </r>
  <r>
    <s v="V14"/>
    <s v="IT ownership and accountability is not clearly defined and documented"/>
    <x v="1"/>
    <x v="3"/>
    <x v="13"/>
    <x v="0"/>
  </r>
  <r>
    <s v="V15"/>
    <s v="The organizational IT structure is not designed to adequately support business objectives"/>
    <x v="1"/>
    <x v="3"/>
    <x v="14"/>
    <x v="2"/>
  </r>
  <r>
    <s v="V16"/>
    <s v="Data is not managed according to its respective classification requirements"/>
    <x v="1"/>
    <x v="4"/>
    <x v="15"/>
    <x v="3"/>
  </r>
  <r>
    <s v="V17"/>
    <s v="The enterprise information architecture model is inefficiently and ineffectively managed"/>
    <x v="1"/>
    <x v="4"/>
    <x v="16"/>
    <x v="2"/>
  </r>
  <r>
    <s v="V18"/>
    <s v="Confidentiality and integrity of information exchanged with external entities is not maintained"/>
    <x v="1"/>
    <x v="4"/>
    <x v="17"/>
    <x v="4"/>
  </r>
  <r>
    <s v="V19"/>
    <s v="IT is not appropriately funded to effectively maintain and support IT services"/>
    <x v="2"/>
    <x v="5"/>
    <x v="18"/>
    <x v="1"/>
  </r>
  <r>
    <s v="V20"/>
    <s v="Compliance is not monitored or resolved in a timely manner"/>
    <x v="3"/>
    <x v="6"/>
    <x v="19"/>
    <x v="2"/>
  </r>
  <r>
    <s v="V21"/>
    <s v="Legal and regulatory compliance requirements are not adequately integrated into policies and procedures"/>
    <x v="3"/>
    <x v="6"/>
    <x v="20"/>
    <x v="5"/>
  </r>
  <r>
    <s v="V22"/>
    <s v="Secure disposal of media is not adequately performed"/>
    <x v="4"/>
    <x v="7"/>
    <x v="15"/>
    <x v="2"/>
  </r>
  <r>
    <s v="V23"/>
    <s v="Policies and procedures for IT infrastructure and other key functions are not effectively managed or communicated enterprise wide"/>
    <x v="1"/>
    <x v="8"/>
    <x v="21"/>
    <x v="3"/>
  </r>
  <r>
    <s v="V24"/>
    <s v="Policies and procedures are not reviewed periodically by management"/>
    <x v="1"/>
    <x v="8"/>
    <x v="22"/>
    <x v="0"/>
  </r>
  <r>
    <s v="V25"/>
    <s v="Risk are not assessed and evaluated  for potential likelihoods and impacts"/>
    <x v="1"/>
    <x v="9"/>
    <x v="23"/>
    <x v="2"/>
  </r>
  <r>
    <s v="V26"/>
    <s v="A risk identification and management process is not in place"/>
    <x v="1"/>
    <x v="9"/>
    <x v="24"/>
    <x v="2"/>
  </r>
  <r>
    <s v="V27"/>
    <s v="A formalized IT risk management framework is not utilized"/>
    <x v="1"/>
    <x v="9"/>
    <x v="25"/>
    <x v="1"/>
  </r>
  <r>
    <s v="V28"/>
    <s v="Risk management roles and responsibilities are not appropriately defined and communicated"/>
    <x v="1"/>
    <x v="9"/>
    <x v="26"/>
    <x v="0"/>
  </r>
  <r>
    <s v="V29"/>
    <s v="Risks are not effectively treated"/>
    <x v="1"/>
    <x v="9"/>
    <x v="27"/>
    <x v="0"/>
  </r>
  <r>
    <s v="V30"/>
    <s v="Applications do not have established and managed controls in place to ensure application integrity"/>
    <x v="4"/>
    <x v="10"/>
    <x v="28"/>
    <x v="2"/>
  </r>
  <r>
    <s v="V31"/>
    <s v="Cryptographic solutions are not in place or effectively managed"/>
    <x v="4"/>
    <x v="10"/>
    <x v="29"/>
    <x v="5"/>
  </r>
  <r>
    <s v="V32"/>
    <s v="Access to system files and source code are not effectively controlled"/>
    <x v="4"/>
    <x v="10"/>
    <x v="30"/>
    <x v="0"/>
  </r>
  <r>
    <s v="V33"/>
    <s v="The vulnerability management program is not adequately defined"/>
    <x v="4"/>
    <x v="10"/>
    <x v="31"/>
    <x v="5"/>
  </r>
  <r>
    <s v="V34"/>
    <s v="Technology security requirements are not effectively identified and implemented"/>
    <x v="4"/>
    <x v="10"/>
    <x v="32"/>
    <x v="3"/>
  </r>
  <r>
    <s v="V35"/>
    <s v="Application authorization and access management is ineffectively managed"/>
    <x v="4"/>
    <x v="7"/>
    <x v="33"/>
    <x v="6"/>
  </r>
  <r>
    <s v="V36"/>
    <s v="User and system authentication is not appropriately managed or secured"/>
    <x v="4"/>
    <x v="7"/>
    <x v="34"/>
    <x v="1"/>
  </r>
  <r>
    <s v="V37"/>
    <s v="Database authorization and access management are not effectively managed"/>
    <x v="4"/>
    <x v="7"/>
    <x v="35"/>
    <x v="2"/>
  </r>
  <r>
    <s v="V38"/>
    <s v="IT assets are not adequately secured from loss or theft"/>
    <x v="4"/>
    <x v="7"/>
    <x v="36"/>
    <x v="1"/>
  </r>
  <r>
    <s v="V39"/>
    <s v="The organization does not adequately protect electronic portable media"/>
    <x v="4"/>
    <x v="7"/>
    <x v="37"/>
    <x v="2"/>
  </r>
  <r>
    <s v="V40"/>
    <s v="User identities are not effectively managed"/>
    <x v="4"/>
    <x v="7"/>
    <x v="38"/>
    <x v="2"/>
  </r>
  <r>
    <s v="V41"/>
    <s v="Information is not adequately protected from malicious code "/>
    <x v="4"/>
    <x v="7"/>
    <x v="39"/>
    <x v="1"/>
  </r>
  <r>
    <s v="V42"/>
    <s v="Network authorization and access management is ineffectively managed"/>
    <x v="4"/>
    <x v="7"/>
    <x v="40"/>
    <x v="0"/>
  </r>
  <r>
    <s v="V43"/>
    <s v="The organization does not have an effective network security infrastructure"/>
    <x v="4"/>
    <x v="7"/>
    <x v="41"/>
    <x v="5"/>
  </r>
  <r>
    <s v="V44"/>
    <s v="Operating system authorization and access management is not effectively managed"/>
    <x v="4"/>
    <x v="7"/>
    <x v="42"/>
    <x v="2"/>
  </r>
  <r>
    <s v="V45"/>
    <s v="Privileged access and emergency access rights are inappropriately managed within the organization"/>
    <x v="4"/>
    <x v="7"/>
    <x v="43"/>
    <x v="3"/>
  </r>
  <r>
    <s v="V46"/>
    <s v="Information access for remote computing is not adequately managed"/>
    <x v="4"/>
    <x v="7"/>
    <x v="44"/>
    <x v="2"/>
  </r>
  <r>
    <s v="V47"/>
    <s v="Security monitoring is not adequately performed in order to detect unauthorized/suspicious activities"/>
    <x v="4"/>
    <x v="7"/>
    <x v="45"/>
    <x v="2"/>
  </r>
  <r>
    <s v="V48"/>
    <s v="Responsibilities are not segregated within the organization"/>
    <x v="4"/>
    <x v="7"/>
    <x v="46"/>
    <x v="2"/>
  </r>
  <r>
    <s v="V49"/>
    <s v="Appropriate measures are not taken to secure technology assets from physical threats"/>
    <x v="4"/>
    <x v="11"/>
    <x v="47"/>
    <x v="0"/>
  </r>
  <r>
    <s v="V50"/>
    <s v="Employees physical and environmental access is not effectively managed"/>
    <x v="4"/>
    <x v="11"/>
    <x v="48"/>
    <x v="0"/>
  </r>
  <r>
    <s v="V51"/>
    <s v="Physical security measures are not adequately in place to protect the organization"/>
    <x v="4"/>
    <x v="11"/>
    <x v="49"/>
    <x v="2"/>
  </r>
  <r>
    <s v="V52"/>
    <s v="Security incidents are not adequately logged and reported for investigations"/>
    <x v="4"/>
    <x v="12"/>
    <x v="50"/>
    <x v="1"/>
  </r>
  <r>
    <s v="V53"/>
    <s v="Security incidents are not adequately managed"/>
    <x v="4"/>
    <x v="12"/>
    <x v="51"/>
    <x v="1"/>
  </r>
  <r>
    <s v="V54"/>
    <s v="Security incidents do not incorporate challenges and lessons learned"/>
    <x v="4"/>
    <x v="12"/>
    <x v="52"/>
    <x v="1"/>
  </r>
  <r>
    <s v="V55"/>
    <s v="Relationships with legal, regulatory and authoritative bodies are ineffectively managed"/>
    <x v="1"/>
    <x v="13"/>
    <x v="53"/>
    <x v="1"/>
  </r>
  <r>
    <s v="V56"/>
    <s v="Independent review of the security program is not performed"/>
    <x v="1"/>
    <x v="13"/>
    <x v="54"/>
    <x v="1"/>
  </r>
  <r>
    <s v="V57"/>
    <s v="Security education and awareness training is not in place for the entire organization"/>
    <x v="1"/>
    <x v="13"/>
    <x v="55"/>
    <x v="6"/>
  </r>
  <r>
    <s v="V58"/>
    <s v="A technology information disclosure procedure does not exist"/>
    <x v="1"/>
    <x v="13"/>
    <x v="56"/>
    <x v="2"/>
  </r>
  <r>
    <s v="V59"/>
    <s v="System availability is not monitored and reported to management"/>
    <x v="4"/>
    <x v="14"/>
    <x v="57"/>
    <x v="1"/>
  </r>
  <r>
    <s v="V60"/>
    <s v="Availability requirements to support the business are not defined"/>
    <x v="4"/>
    <x v="14"/>
    <x v="58"/>
    <x v="1"/>
  </r>
  <r>
    <s v="V61"/>
    <s v="Preventative infrastructure maintenance is not performed on a periodic basis"/>
    <x v="4"/>
    <x v="14"/>
    <x v="59"/>
    <x v="1"/>
  </r>
  <r>
    <s v="V62"/>
    <s v="Back up operations are not adequately performed to recover from business disruptions"/>
    <x v="4"/>
    <x v="15"/>
    <x v="60"/>
    <x v="1"/>
  </r>
  <r>
    <s v="V63"/>
    <s v="The Business Continuity Plan and procedures are not adequately reviewed and maintained"/>
    <x v="4"/>
    <x v="15"/>
    <x v="61"/>
    <x v="2"/>
  </r>
  <r>
    <s v="V64"/>
    <s v="A Business Impact Analysis (BIA) is not performed or documented"/>
    <x v="4"/>
    <x v="15"/>
    <x v="62"/>
    <x v="1"/>
  </r>
  <r>
    <s v="V65"/>
    <s v="The Disaster Recovery plans and procedures are not adequately reviewed and maintained by management"/>
    <x v="4"/>
    <x v="15"/>
    <x v="63"/>
    <x v="6"/>
  </r>
  <r>
    <s v="V66"/>
    <s v="The adequacy of IT service continuity is not monitored or reported"/>
    <x v="4"/>
    <x v="15"/>
    <x v="64"/>
    <x v="2"/>
  </r>
  <r>
    <s v="V67"/>
    <s v="A formalized BCP/DR training program is not in place"/>
    <x v="4"/>
    <x v="15"/>
    <x v="65"/>
    <x v="1"/>
  </r>
  <r>
    <s v="V68"/>
    <s v="The change approval process is ineffectively managed"/>
    <x v="4"/>
    <x v="16"/>
    <x v="66"/>
    <x v="2"/>
  </r>
  <r>
    <s v="V69"/>
    <s v="Change requests are not appropriately monitored"/>
    <x v="4"/>
    <x v="16"/>
    <x v="67"/>
    <x v="1"/>
  </r>
  <r>
    <s v="V70"/>
    <s v="Request for Changes (RFC) are ineffectively analyzed"/>
    <x v="4"/>
    <x v="16"/>
    <x v="68"/>
    <x v="1"/>
  </r>
  <r>
    <s v="V71"/>
    <s v="Emergency and/or critical changes are not scheduled in a timely manner"/>
    <x v="4"/>
    <x v="16"/>
    <x v="69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Observations Mapped to Vul. Ref.">
  <location ref="B3:C11" firstHeaderRow="1" firstDataRow="1" firstDataCol="1"/>
  <pivotFields count="6">
    <pivotField showAll="0"/>
    <pivotField dataField="1" showAll="0"/>
    <pivotField showAll="0"/>
    <pivotField showAll="0"/>
    <pivotField showAll="0"/>
    <pivotField name="# of BSC Observations" axis="axisRow" showAll="0" sortType="descending">
      <items count="8">
        <item x="4"/>
        <item x="6"/>
        <item x="3"/>
        <item x="5"/>
        <item x="0"/>
        <item x="2"/>
        <item x="1"/>
        <item t="default"/>
      </items>
    </pivotField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Vul." fld="1" subtotal="count" baseField="0" baseItem="0"/>
  </dataFields>
  <formats count="1"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4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Related Sub-Process">
  <location ref="E34:F105" firstHeaderRow="1" firstDataRow="1" firstDataCol="1"/>
  <pivotFields count="6">
    <pivotField showAll="0"/>
    <pivotField showAll="0"/>
    <pivotField showAll="0"/>
    <pivotField showAll="0"/>
    <pivotField axis="axisRow" showAll="0" sortType="descending">
      <items count="73">
        <item x="33"/>
        <item x="28"/>
        <item x="34"/>
        <item m="1" x="70"/>
        <item x="57"/>
        <item x="58"/>
        <item x="60"/>
        <item x="61"/>
        <item x="62"/>
        <item x="66"/>
        <item x="67"/>
        <item x="68"/>
        <item x="19"/>
        <item x="20"/>
        <item x="0"/>
        <item x="53"/>
        <item x="29"/>
        <item x="15"/>
        <item x="35"/>
        <item x="1"/>
        <item x="2"/>
        <item x="8"/>
        <item x="36"/>
        <item x="63"/>
        <item x="37"/>
        <item x="69"/>
        <item x="47"/>
        <item x="30"/>
        <item x="38"/>
        <item x="3"/>
        <item x="54"/>
        <item x="16"/>
        <item x="17"/>
        <item x="50"/>
        <item x="18"/>
        <item x="13"/>
        <item x="14"/>
        <item x="4"/>
        <item x="39"/>
        <item x="51"/>
        <item x="64"/>
        <item x="40"/>
        <item x="41"/>
        <item x="42"/>
        <item x="48"/>
        <item x="49"/>
        <item x="21"/>
        <item x="22"/>
        <item x="59"/>
        <item x="43"/>
        <item x="9"/>
        <item x="44"/>
        <item m="1" x="71"/>
        <item x="7"/>
        <item x="6"/>
        <item x="5"/>
        <item x="10"/>
        <item x="23"/>
        <item x="24"/>
        <item x="25"/>
        <item x="26"/>
        <item x="27"/>
        <item x="55"/>
        <item x="52"/>
        <item x="45"/>
        <item x="46"/>
        <item x="31"/>
        <item x="56"/>
        <item x="32"/>
        <item x="11"/>
        <item x="12"/>
        <item x="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4"/>
  </rowFields>
  <rowItems count="71">
    <i>
      <x v="32"/>
    </i>
    <i>
      <x v="23"/>
    </i>
    <i>
      <x v="62"/>
    </i>
    <i>
      <x v="17"/>
    </i>
    <i>
      <x/>
    </i>
    <i>
      <x v="46"/>
    </i>
    <i>
      <x v="49"/>
    </i>
    <i>
      <x v="68"/>
    </i>
    <i>
      <x v="66"/>
    </i>
    <i>
      <x v="13"/>
    </i>
    <i>
      <x v="16"/>
    </i>
    <i>
      <x v="42"/>
    </i>
    <i>
      <x v="14"/>
    </i>
    <i>
      <x v="61"/>
    </i>
    <i>
      <x v="60"/>
    </i>
    <i>
      <x v="27"/>
    </i>
    <i>
      <x v="26"/>
    </i>
    <i>
      <x v="47"/>
    </i>
    <i>
      <x v="41"/>
    </i>
    <i>
      <x v="44"/>
    </i>
    <i>
      <x v="35"/>
    </i>
    <i>
      <x v="58"/>
    </i>
    <i>
      <x v="1"/>
    </i>
    <i>
      <x v="20"/>
    </i>
    <i>
      <x v="24"/>
    </i>
    <i>
      <x v="55"/>
    </i>
    <i>
      <x v="7"/>
    </i>
    <i>
      <x v="64"/>
    </i>
    <i>
      <x v="28"/>
    </i>
    <i>
      <x v="69"/>
    </i>
    <i>
      <x v="29"/>
    </i>
    <i>
      <x v="51"/>
    </i>
    <i>
      <x v="31"/>
    </i>
    <i>
      <x v="57"/>
    </i>
    <i>
      <x v="9"/>
    </i>
    <i>
      <x v="18"/>
    </i>
    <i>
      <x v="36"/>
    </i>
    <i>
      <x v="65"/>
    </i>
    <i>
      <x v="40"/>
    </i>
    <i>
      <x v="67"/>
    </i>
    <i>
      <x v="12"/>
    </i>
    <i>
      <x v="43"/>
    </i>
    <i>
      <x v="45"/>
    </i>
    <i>
      <x v="5"/>
    </i>
    <i>
      <x v="21"/>
    </i>
    <i>
      <x v="39"/>
    </i>
    <i>
      <x v="71"/>
    </i>
    <i>
      <x v="37"/>
    </i>
    <i>
      <x v="22"/>
    </i>
    <i>
      <x v="19"/>
    </i>
    <i>
      <x v="15"/>
    </i>
    <i>
      <x v="11"/>
    </i>
    <i>
      <x v="48"/>
    </i>
    <i>
      <x v="70"/>
    </i>
    <i>
      <x v="4"/>
    </i>
    <i>
      <x v="59"/>
    </i>
    <i>
      <x v="50"/>
    </i>
    <i>
      <x v="38"/>
    </i>
    <i>
      <x v="34"/>
    </i>
    <i>
      <x v="63"/>
    </i>
    <i>
      <x v="53"/>
    </i>
    <i>
      <x v="30"/>
    </i>
    <i>
      <x v="54"/>
    </i>
    <i>
      <x v="8"/>
    </i>
    <i>
      <x v="10"/>
    </i>
    <i>
      <x v="25"/>
    </i>
    <i>
      <x v="56"/>
    </i>
    <i>
      <x v="33"/>
    </i>
    <i>
      <x v="6"/>
    </i>
    <i>
      <x v="2"/>
    </i>
    <i t="grand">
      <x/>
    </i>
  </rowItems>
  <colItems count="1">
    <i/>
  </colItems>
  <dataFields count="1">
    <dataField name="Sum of # of BSC Obs.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Level 2: Technology Risk Category">
  <location ref="E13:F31" firstHeaderRow="1" firstDataRow="1" firstDataCol="1"/>
  <pivotFields count="6">
    <pivotField showAll="0"/>
    <pivotField showAll="0"/>
    <pivotField showAll="0"/>
    <pivotField axis="axisRow" showAll="0" sortType="descending">
      <items count="18">
        <item x="3"/>
        <item x="14"/>
        <item x="16"/>
        <item x="0"/>
        <item x="4"/>
        <item x="10"/>
        <item x="5"/>
        <item x="15"/>
        <item x="6"/>
        <item x="7"/>
        <item x="11"/>
        <item x="8"/>
        <item x="1"/>
        <item x="9"/>
        <item x="12"/>
        <item x="1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3"/>
  </rowFields>
  <rowItems count="18">
    <i>
      <x v="9"/>
    </i>
    <i>
      <x v="5"/>
    </i>
    <i>
      <x v="4"/>
    </i>
    <i>
      <x v="7"/>
    </i>
    <i>
      <x v="13"/>
    </i>
    <i>
      <x v="11"/>
    </i>
    <i>
      <x v="15"/>
    </i>
    <i>
      <x v="10"/>
    </i>
    <i>
      <x v="3"/>
    </i>
    <i>
      <x v="8"/>
    </i>
    <i>
      <x/>
    </i>
    <i>
      <x v="12"/>
    </i>
    <i>
      <x v="16"/>
    </i>
    <i>
      <x v="2"/>
    </i>
    <i>
      <x v="1"/>
    </i>
    <i>
      <x v="14"/>
    </i>
    <i>
      <x v="6"/>
    </i>
    <i t="grand">
      <x/>
    </i>
  </rowItems>
  <colItems count="1">
    <i/>
  </colItems>
  <dataFields count="1">
    <dataField name="Sum of # of BSC Obs.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E3:F9" firstHeaderRow="1" firstDataRow="1" firstDataCol="1"/>
  <pivotFields count="6">
    <pivotField showAll="0"/>
    <pivotField showAll="0"/>
    <pivotField axis="axisRow" showAll="0" sortType="descending">
      <items count="6">
        <item x="3"/>
        <item x="2"/>
        <item x="1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</pivotFields>
  <rowFields count="1">
    <field x="2"/>
  </rowFields>
  <rowItems count="6">
    <i>
      <x v="3"/>
    </i>
    <i>
      <x v="2"/>
    </i>
    <i>
      <x v="4"/>
    </i>
    <i>
      <x/>
    </i>
    <i>
      <x v="1"/>
    </i>
    <i t="grand">
      <x/>
    </i>
  </rowItems>
  <colItems count="1">
    <i/>
  </colItems>
  <dataFields count="1">
    <dataField name="Sum of # of BSC Obs.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5"/>
  <sheetViews>
    <sheetView showGridLines="0" zoomScaleNormal="100" workbookViewId="0">
      <pane ySplit="4" topLeftCell="A5" activePane="bottomLeft" state="frozen"/>
      <selection pane="bottomLeft" activeCell="F29" sqref="F29"/>
    </sheetView>
  </sheetViews>
  <sheetFormatPr defaultRowHeight="15" x14ac:dyDescent="0.25"/>
  <cols>
    <col min="1" max="1" width="1.5703125" customWidth="1"/>
    <col min="3" max="3" width="2" style="12" customWidth="1"/>
    <col min="12" max="12" width="7.140625" customWidth="1"/>
  </cols>
  <sheetData>
    <row r="1" spans="2:3" s="15" customFormat="1" ht="5.25" customHeight="1" x14ac:dyDescent="0.25"/>
    <row r="2" spans="2:3" s="15" customFormat="1" x14ac:dyDescent="0.25">
      <c r="B2" s="10"/>
      <c r="C2" s="10"/>
    </row>
    <row r="3" spans="2:3" s="15" customFormat="1" x14ac:dyDescent="0.25">
      <c r="B3" s="10" t="s">
        <v>198</v>
      </c>
      <c r="C3" s="10"/>
    </row>
    <row r="4" spans="2:3" s="15" customFormat="1" ht="12.75" x14ac:dyDescent="0.25">
      <c r="B4" s="18"/>
      <c r="C4" s="18"/>
    </row>
    <row r="5" spans="2:3" x14ac:dyDescent="0.25">
      <c r="B5" t="s">
        <v>406</v>
      </c>
    </row>
  </sheetData>
  <pageMargins left="0.7" right="0.7" top="0.75" bottom="0.75" header="0.3" footer="0.3"/>
  <pageSetup orientation="landscape" horizontalDpi="300" verticalDpi="0" copies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"/>
  <sheetViews>
    <sheetView showGridLines="0" zoomScaleNormal="100" workbookViewId="0">
      <selection activeCell="D21" sqref="D21"/>
    </sheetView>
  </sheetViews>
  <sheetFormatPr defaultRowHeight="15" x14ac:dyDescent="0.25"/>
  <cols>
    <col min="1" max="1" width="9.85546875" customWidth="1"/>
    <col min="2" max="2" width="22.7109375" customWidth="1"/>
    <col min="3" max="3" width="28.140625" customWidth="1"/>
    <col min="4" max="4" width="25.42578125" customWidth="1"/>
    <col min="5" max="5" width="19.140625" customWidth="1"/>
    <col min="6" max="6" width="24.85546875" style="12" customWidth="1"/>
    <col min="7" max="7" width="43.7109375" customWidth="1"/>
  </cols>
  <sheetData>
    <row r="1" spans="1:13" x14ac:dyDescent="0.25">
      <c r="A1" s="48" t="s">
        <v>294</v>
      </c>
      <c r="B1" s="12"/>
      <c r="C1" s="12"/>
      <c r="D1" s="12"/>
    </row>
    <row r="2" spans="1:13" x14ac:dyDescent="0.25">
      <c r="A2" s="12"/>
      <c r="B2" s="12"/>
      <c r="C2" s="12"/>
      <c r="D2" s="12"/>
    </row>
    <row r="3" spans="1:13" x14ac:dyDescent="0.25">
      <c r="A3" s="48" t="s">
        <v>295</v>
      </c>
      <c r="B3" s="12"/>
      <c r="C3" s="12"/>
      <c r="D3" s="12"/>
    </row>
    <row r="4" spans="1:13" x14ac:dyDescent="0.25">
      <c r="A4" s="12"/>
      <c r="B4" s="12"/>
      <c r="C4" s="12"/>
      <c r="D4" s="12"/>
    </row>
    <row r="5" spans="1:13" x14ac:dyDescent="0.25">
      <c r="A5" s="49" t="s">
        <v>296</v>
      </c>
      <c r="B5" s="12"/>
      <c r="C5" s="12"/>
      <c r="D5" s="12"/>
    </row>
    <row r="6" spans="1:13" ht="15.75" thickBot="1" x14ac:dyDescent="0.3"/>
    <row r="7" spans="1:13" ht="15.75" thickBot="1" x14ac:dyDescent="0.3">
      <c r="A7" s="106" t="s">
        <v>334</v>
      </c>
      <c r="B7" s="107"/>
      <c r="C7" s="107"/>
      <c r="D7" s="107"/>
      <c r="E7" s="107"/>
      <c r="F7" s="107"/>
      <c r="G7" s="108"/>
    </row>
    <row r="8" spans="1:13" x14ac:dyDescent="0.25">
      <c r="A8" s="75" t="s">
        <v>102</v>
      </c>
      <c r="B8" s="75" t="s">
        <v>400</v>
      </c>
      <c r="C8" s="75" t="s">
        <v>333</v>
      </c>
      <c r="D8" s="75" t="s">
        <v>379</v>
      </c>
      <c r="E8" s="75" t="s">
        <v>380</v>
      </c>
      <c r="F8" s="75" t="s">
        <v>381</v>
      </c>
      <c r="G8" s="75" t="s">
        <v>297</v>
      </c>
    </row>
    <row r="9" spans="1:13" ht="13.5" customHeight="1" x14ac:dyDescent="0.25">
      <c r="A9" s="112">
        <v>1</v>
      </c>
      <c r="B9" s="112" t="s">
        <v>395</v>
      </c>
      <c r="C9" s="109" t="s">
        <v>397</v>
      </c>
      <c r="D9" s="112" t="s">
        <v>398</v>
      </c>
      <c r="E9" s="112" t="s">
        <v>380</v>
      </c>
      <c r="F9" s="50"/>
      <c r="G9" s="72"/>
      <c r="J9" s="73"/>
    </row>
    <row r="10" spans="1:13" x14ac:dyDescent="0.25">
      <c r="A10" s="113"/>
      <c r="B10" s="113"/>
      <c r="C10" s="110"/>
      <c r="D10" s="113"/>
      <c r="E10" s="113"/>
      <c r="F10" s="50"/>
      <c r="G10" s="72"/>
    </row>
    <row r="11" spans="1:13" ht="36.950000000000003" customHeight="1" x14ac:dyDescent="0.25">
      <c r="A11" s="113"/>
      <c r="B11" s="113"/>
      <c r="C11" s="111"/>
      <c r="D11" s="114"/>
      <c r="E11" s="114"/>
      <c r="F11" s="50"/>
      <c r="G11" s="72"/>
    </row>
    <row r="12" spans="1:13" x14ac:dyDescent="0.25">
      <c r="A12" s="100">
        <v>2</v>
      </c>
      <c r="B12" s="100" t="s">
        <v>396</v>
      </c>
      <c r="C12" s="103" t="s">
        <v>397</v>
      </c>
      <c r="D12" s="100" t="s">
        <v>399</v>
      </c>
      <c r="E12" s="100" t="s">
        <v>380</v>
      </c>
      <c r="F12" s="84"/>
      <c r="G12" s="85"/>
      <c r="M12" s="32"/>
    </row>
    <row r="13" spans="1:13" s="12" customFormat="1" x14ac:dyDescent="0.25">
      <c r="A13" s="101"/>
      <c r="B13" s="101"/>
      <c r="C13" s="104"/>
      <c r="D13" s="101"/>
      <c r="E13" s="101"/>
      <c r="F13" s="84"/>
      <c r="G13" s="85"/>
      <c r="M13" s="32"/>
    </row>
    <row r="14" spans="1:13" x14ac:dyDescent="0.25">
      <c r="A14" s="101"/>
      <c r="B14" s="101"/>
      <c r="C14" s="104"/>
      <c r="D14" s="101"/>
      <c r="E14" s="101"/>
      <c r="F14" s="86"/>
      <c r="G14" s="86"/>
    </row>
    <row r="15" spans="1:13" x14ac:dyDescent="0.25">
      <c r="A15" s="102"/>
      <c r="B15" s="102"/>
      <c r="C15" s="105"/>
      <c r="D15" s="102"/>
      <c r="E15" s="102"/>
      <c r="F15" s="86"/>
      <c r="G15" s="86"/>
    </row>
  </sheetData>
  <mergeCells count="11">
    <mergeCell ref="A12:A15"/>
    <mergeCell ref="C12:C15"/>
    <mergeCell ref="D12:D15"/>
    <mergeCell ref="E12:E15"/>
    <mergeCell ref="A7:G7"/>
    <mergeCell ref="C9:C11"/>
    <mergeCell ref="A9:A11"/>
    <mergeCell ref="B9:B11"/>
    <mergeCell ref="B12:B15"/>
    <mergeCell ref="D9:D11"/>
    <mergeCell ref="E9:E1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13"/>
  <sheetViews>
    <sheetView showGridLines="0" zoomScaleNormal="100" workbookViewId="0">
      <pane xSplit="2" ySplit="7" topLeftCell="C8" activePane="bottomRight" state="frozen"/>
      <selection activeCell="C6" sqref="C6"/>
      <selection pane="topRight" activeCell="C6" sqref="C6"/>
      <selection pane="bottomLeft" activeCell="C6" sqref="C6"/>
      <selection pane="bottomRight" activeCell="F20" sqref="F20"/>
    </sheetView>
  </sheetViews>
  <sheetFormatPr defaultRowHeight="15" x14ac:dyDescent="0.25"/>
  <cols>
    <col min="1" max="1" width="1.5703125" style="12" customWidth="1"/>
    <col min="2" max="2" width="18.85546875" style="6" customWidth="1"/>
    <col min="3" max="3" width="14.7109375" customWidth="1"/>
    <col min="4" max="4" width="10.140625" customWidth="1"/>
    <col min="5" max="5" width="12.5703125" customWidth="1"/>
    <col min="6" max="6" width="22.140625" customWidth="1"/>
    <col min="7" max="7" width="46.85546875" bestFit="1" customWidth="1"/>
    <col min="8" max="8" width="55.42578125" customWidth="1"/>
  </cols>
  <sheetData>
    <row r="1" spans="1:8" s="15" customFormat="1" ht="5.25" customHeight="1" x14ac:dyDescent="0.25"/>
    <row r="2" spans="1:8" s="15" customFormat="1" x14ac:dyDescent="0.25">
      <c r="B2" s="10"/>
    </row>
    <row r="3" spans="1:8" s="15" customFormat="1" x14ac:dyDescent="0.25">
      <c r="B3" s="10" t="s">
        <v>183</v>
      </c>
    </row>
    <row r="4" spans="1:8" s="15" customFormat="1" ht="12.75" x14ac:dyDescent="0.25">
      <c r="B4" s="18"/>
    </row>
    <row r="5" spans="1:8" s="15" customFormat="1" ht="12.75" x14ac:dyDescent="0.25">
      <c r="B5" s="18"/>
    </row>
    <row r="6" spans="1:8" s="15" customFormat="1" ht="12.75" x14ac:dyDescent="0.25">
      <c r="B6" s="38" t="s">
        <v>256</v>
      </c>
    </row>
    <row r="7" spans="1:8" ht="30" customHeight="1" x14ac:dyDescent="0.25">
      <c r="B7" s="20" t="s">
        <v>102</v>
      </c>
      <c r="C7" s="20" t="s">
        <v>285</v>
      </c>
      <c r="D7" s="20" t="s">
        <v>204</v>
      </c>
      <c r="E7" s="20" t="s">
        <v>189</v>
      </c>
      <c r="F7" s="20" t="s">
        <v>191</v>
      </c>
      <c r="G7" s="20" t="s">
        <v>286</v>
      </c>
      <c r="H7" s="20" t="s">
        <v>205</v>
      </c>
    </row>
    <row r="8" spans="1:8" s="8" customFormat="1" ht="76.5" x14ac:dyDescent="0.25">
      <c r="A8" s="17"/>
      <c r="B8" s="19" t="s">
        <v>185</v>
      </c>
      <c r="C8" s="11" t="s">
        <v>383</v>
      </c>
      <c r="D8" s="11" t="s">
        <v>180</v>
      </c>
      <c r="E8" s="11" t="s">
        <v>182</v>
      </c>
      <c r="F8" s="22" t="s">
        <v>190</v>
      </c>
      <c r="G8" s="22" t="s">
        <v>291</v>
      </c>
      <c r="H8" s="11" t="s">
        <v>177</v>
      </c>
    </row>
    <row r="9" spans="1:8" s="8" customFormat="1" ht="51" x14ac:dyDescent="0.25">
      <c r="A9" s="17"/>
      <c r="B9" s="19" t="s">
        <v>186</v>
      </c>
      <c r="C9" s="11" t="s">
        <v>382</v>
      </c>
      <c r="D9" s="11" t="s">
        <v>180</v>
      </c>
      <c r="E9" s="11" t="s">
        <v>182</v>
      </c>
      <c r="F9" s="22" t="s">
        <v>288</v>
      </c>
      <c r="G9" s="22" t="s">
        <v>290</v>
      </c>
      <c r="H9" s="11" t="s">
        <v>289</v>
      </c>
    </row>
    <row r="10" spans="1:8" s="8" customFormat="1" ht="63.75" x14ac:dyDescent="0.25">
      <c r="A10" s="17"/>
      <c r="B10" s="19" t="s">
        <v>401</v>
      </c>
      <c r="C10" s="11" t="s">
        <v>175</v>
      </c>
      <c r="D10" s="11" t="s">
        <v>181</v>
      </c>
      <c r="E10" s="11" t="s">
        <v>182</v>
      </c>
      <c r="F10" s="22" t="s">
        <v>193</v>
      </c>
      <c r="G10" s="22" t="s">
        <v>292</v>
      </c>
      <c r="H10" s="11" t="s">
        <v>176</v>
      </c>
    </row>
    <row r="11" spans="1:8" s="8" customFormat="1" ht="63.75" x14ac:dyDescent="0.25">
      <c r="A11" s="17"/>
      <c r="B11" s="19" t="s">
        <v>187</v>
      </c>
      <c r="C11" s="11" t="s">
        <v>287</v>
      </c>
      <c r="D11" s="11" t="s">
        <v>178</v>
      </c>
      <c r="E11" s="11" t="s">
        <v>178</v>
      </c>
      <c r="F11" s="21" t="s">
        <v>178</v>
      </c>
      <c r="G11" s="22" t="s">
        <v>192</v>
      </c>
      <c r="H11" s="21" t="s">
        <v>179</v>
      </c>
    </row>
    <row r="13" spans="1:8" x14ac:dyDescent="0.25">
      <c r="C13" s="44"/>
    </row>
  </sheetData>
  <autoFilter ref="B7:H11" xr:uid="{00000000-0009-0000-0000-000003000000}"/>
  <pageMargins left="0.7" right="0.7" top="0.75" bottom="0.75" header="0.3" footer="0.3"/>
  <pageSetup orientation="landscape" horizontalDpi="300" verticalDpi="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D101"/>
  <sheetViews>
    <sheetView showGridLines="0" zoomScale="80" zoomScaleNormal="80" workbookViewId="0">
      <pane xSplit="2" ySplit="7" topLeftCell="C8" activePane="bottomRight" state="frozen"/>
      <selection pane="topRight" activeCell="C1" sqref="C1"/>
      <selection pane="bottomLeft" activeCell="A3" sqref="A3"/>
      <selection pane="bottomRight" activeCell="P17" sqref="P17"/>
    </sheetView>
  </sheetViews>
  <sheetFormatPr defaultColWidth="9.140625" defaultRowHeight="12.75" x14ac:dyDescent="0.25"/>
  <cols>
    <col min="1" max="1" width="1.5703125" style="15" customWidth="1"/>
    <col min="2" max="2" width="6.7109375" style="3" customWidth="1"/>
    <col min="3" max="3" width="68.28515625" style="55" customWidth="1"/>
    <col min="4" max="4" width="24.7109375" style="15" customWidth="1"/>
    <col min="5" max="16384" width="9.140625" style="3"/>
  </cols>
  <sheetData>
    <row r="1" spans="1:4" s="15" customFormat="1" ht="5.25" customHeight="1" x14ac:dyDescent="0.25">
      <c r="C1" s="55"/>
    </row>
    <row r="2" spans="1:4" s="15" customFormat="1" ht="15" x14ac:dyDescent="0.25">
      <c r="B2" s="10"/>
      <c r="C2" s="55"/>
    </row>
    <row r="3" spans="1:4" s="15" customFormat="1" ht="15" customHeight="1" x14ac:dyDescent="0.25">
      <c r="B3" s="10" t="s">
        <v>184</v>
      </c>
      <c r="C3" s="55"/>
    </row>
    <row r="4" spans="1:4" s="15" customFormat="1" ht="12.75" customHeight="1" x14ac:dyDescent="0.25">
      <c r="B4" s="18"/>
      <c r="C4" s="55"/>
    </row>
    <row r="5" spans="1:4" s="15" customFormat="1" ht="12.75" customHeight="1" x14ac:dyDescent="0.25">
      <c r="B5" s="18"/>
      <c r="C5" s="55"/>
    </row>
    <row r="6" spans="1:4" s="15" customFormat="1" ht="12.75" customHeight="1" x14ac:dyDescent="0.25">
      <c r="B6" s="38"/>
      <c r="C6" s="55"/>
    </row>
    <row r="7" spans="1:4" s="1" customFormat="1" ht="30" customHeight="1" x14ac:dyDescent="0.25">
      <c r="A7" s="13"/>
      <c r="B7" s="20" t="s">
        <v>188</v>
      </c>
      <c r="C7" s="81" t="s">
        <v>65</v>
      </c>
      <c r="D7" s="20" t="s">
        <v>298</v>
      </c>
    </row>
    <row r="8" spans="1:4" s="2" customFormat="1" ht="25.5" x14ac:dyDescent="0.25">
      <c r="A8" s="14"/>
      <c r="B8" s="4" t="s">
        <v>103</v>
      </c>
      <c r="C8" s="56" t="s">
        <v>332</v>
      </c>
      <c r="D8" s="16" t="s">
        <v>300</v>
      </c>
    </row>
    <row r="9" spans="1:4" s="2" customFormat="1" ht="25.5" customHeight="1" x14ac:dyDescent="0.25">
      <c r="A9" s="14"/>
      <c r="B9" s="4" t="s">
        <v>104</v>
      </c>
      <c r="C9" s="56" t="s">
        <v>88</v>
      </c>
      <c r="D9" s="16" t="s">
        <v>299</v>
      </c>
    </row>
    <row r="10" spans="1:4" s="2" customFormat="1" ht="25.5" x14ac:dyDescent="0.25">
      <c r="A10" s="14"/>
      <c r="B10" s="16" t="s">
        <v>105</v>
      </c>
      <c r="C10" s="56" t="s">
        <v>199</v>
      </c>
      <c r="D10" s="16" t="s">
        <v>301</v>
      </c>
    </row>
    <row r="11" spans="1:4" s="2" customFormat="1" ht="36.75" customHeight="1" x14ac:dyDescent="0.25">
      <c r="A11" s="14"/>
      <c r="B11" s="16" t="s">
        <v>106</v>
      </c>
      <c r="C11" s="56" t="s">
        <v>200</v>
      </c>
      <c r="D11" s="16" t="s">
        <v>301</v>
      </c>
    </row>
    <row r="12" spans="1:4" s="2" customFormat="1" ht="25.5" x14ac:dyDescent="0.25">
      <c r="A12" s="14"/>
      <c r="B12" s="16" t="s">
        <v>107</v>
      </c>
      <c r="C12" s="56" t="s">
        <v>201</v>
      </c>
      <c r="D12" s="16" t="s">
        <v>301</v>
      </c>
    </row>
    <row r="13" spans="1:4" s="2" customFormat="1" ht="25.5" x14ac:dyDescent="0.25">
      <c r="A13" s="14"/>
      <c r="B13" s="16" t="s">
        <v>108</v>
      </c>
      <c r="C13" s="56" t="s">
        <v>208</v>
      </c>
      <c r="D13" s="16" t="s">
        <v>301</v>
      </c>
    </row>
    <row r="14" spans="1:4" s="2" customFormat="1" x14ac:dyDescent="0.25">
      <c r="A14" s="14"/>
      <c r="B14" s="16" t="s">
        <v>109</v>
      </c>
      <c r="C14" s="56" t="s">
        <v>207</v>
      </c>
      <c r="D14" s="16" t="s">
        <v>301</v>
      </c>
    </row>
    <row r="15" spans="1:4" s="2" customFormat="1" x14ac:dyDescent="0.25">
      <c r="A15" s="14"/>
      <c r="B15" s="16" t="s">
        <v>110</v>
      </c>
      <c r="C15" s="56" t="s">
        <v>202</v>
      </c>
      <c r="D15" s="16" t="s">
        <v>299</v>
      </c>
    </row>
    <row r="16" spans="1:4" s="2" customFormat="1" x14ac:dyDescent="0.25">
      <c r="A16" s="14"/>
      <c r="B16" s="16" t="s">
        <v>111</v>
      </c>
      <c r="C16" s="56" t="s">
        <v>209</v>
      </c>
      <c r="D16" s="16" t="s">
        <v>301</v>
      </c>
    </row>
    <row r="17" spans="1:4" s="2" customFormat="1" x14ac:dyDescent="0.25">
      <c r="A17" s="14"/>
      <c r="B17" s="16" t="s">
        <v>112</v>
      </c>
      <c r="C17" s="56" t="s">
        <v>210</v>
      </c>
      <c r="D17" s="16" t="s">
        <v>299</v>
      </c>
    </row>
    <row r="18" spans="1:4" s="2" customFormat="1" x14ac:dyDescent="0.25">
      <c r="A18" s="14"/>
      <c r="B18" s="16" t="s">
        <v>113</v>
      </c>
      <c r="C18" s="56" t="s">
        <v>211</v>
      </c>
      <c r="D18" s="16" t="s">
        <v>299</v>
      </c>
    </row>
    <row r="19" spans="1:4" s="2" customFormat="1" x14ac:dyDescent="0.25">
      <c r="A19" s="14"/>
      <c r="B19" s="16" t="s">
        <v>114</v>
      </c>
      <c r="C19" s="56" t="s">
        <v>212</v>
      </c>
      <c r="D19" s="16" t="s">
        <v>301</v>
      </c>
    </row>
    <row r="20" spans="1:4" s="2" customFormat="1" x14ac:dyDescent="0.25">
      <c r="A20" s="14"/>
      <c r="B20" s="16" t="s">
        <v>115</v>
      </c>
      <c r="C20" s="56" t="s">
        <v>213</v>
      </c>
      <c r="D20" s="16" t="s">
        <v>299</v>
      </c>
    </row>
    <row r="21" spans="1:4" s="2" customFormat="1" x14ac:dyDescent="0.25">
      <c r="A21" s="14"/>
      <c r="B21" s="16" t="s">
        <v>116</v>
      </c>
      <c r="C21" s="56" t="s">
        <v>214</v>
      </c>
      <c r="D21" s="16" t="s">
        <v>302</v>
      </c>
    </row>
    <row r="22" spans="1:4" s="2" customFormat="1" ht="25.5" x14ac:dyDescent="0.25">
      <c r="A22" s="14"/>
      <c r="B22" s="16" t="s">
        <v>117</v>
      </c>
      <c r="C22" s="56" t="s">
        <v>215</v>
      </c>
      <c r="D22" s="16" t="s">
        <v>303</v>
      </c>
    </row>
    <row r="23" spans="1:4" s="2" customFormat="1" x14ac:dyDescent="0.25">
      <c r="A23" s="14"/>
      <c r="B23" s="16" t="s">
        <v>118</v>
      </c>
      <c r="C23" s="56" t="s">
        <v>216</v>
      </c>
      <c r="D23" s="16" t="s">
        <v>302</v>
      </c>
    </row>
    <row r="24" spans="1:4" s="2" customFormat="1" ht="25.5" x14ac:dyDescent="0.25">
      <c r="A24" s="14"/>
      <c r="B24" s="16" t="s">
        <v>119</v>
      </c>
      <c r="C24" s="56" t="s">
        <v>217</v>
      </c>
      <c r="D24" s="16" t="s">
        <v>304</v>
      </c>
    </row>
    <row r="25" spans="1:4" s="2" customFormat="1" ht="25.5" x14ac:dyDescent="0.25">
      <c r="A25" s="14"/>
      <c r="B25" s="16" t="s">
        <v>120</v>
      </c>
      <c r="C25" s="56" t="s">
        <v>267</v>
      </c>
      <c r="D25" s="16" t="s">
        <v>305</v>
      </c>
    </row>
    <row r="26" spans="1:4" s="2" customFormat="1" x14ac:dyDescent="0.25">
      <c r="A26" s="14"/>
      <c r="B26" s="16" t="s">
        <v>121</v>
      </c>
      <c r="C26" s="56" t="s">
        <v>275</v>
      </c>
      <c r="D26" s="16" t="s">
        <v>303</v>
      </c>
    </row>
    <row r="27" spans="1:4" s="2" customFormat="1" x14ac:dyDescent="0.25">
      <c r="A27" s="14"/>
      <c r="B27" s="16" t="s">
        <v>122</v>
      </c>
      <c r="C27" s="56" t="s">
        <v>239</v>
      </c>
      <c r="D27" s="16" t="s">
        <v>306</v>
      </c>
    </row>
    <row r="28" spans="1:4" s="2" customFormat="1" ht="25.5" x14ac:dyDescent="0.25">
      <c r="A28" s="14"/>
      <c r="B28" s="16" t="s">
        <v>123</v>
      </c>
      <c r="C28" s="56" t="s">
        <v>240</v>
      </c>
      <c r="D28" s="16" t="s">
        <v>306</v>
      </c>
    </row>
    <row r="29" spans="1:4" s="2" customFormat="1" x14ac:dyDescent="0.25">
      <c r="A29" s="14"/>
      <c r="B29" s="16" t="s">
        <v>124</v>
      </c>
      <c r="C29" s="56" t="s">
        <v>269</v>
      </c>
      <c r="D29" s="16" t="s">
        <v>307</v>
      </c>
    </row>
    <row r="30" spans="1:4" s="2" customFormat="1" ht="25.5" x14ac:dyDescent="0.25">
      <c r="A30" s="14"/>
      <c r="B30" s="16" t="s">
        <v>125</v>
      </c>
      <c r="C30" s="56" t="s">
        <v>270</v>
      </c>
      <c r="D30" s="16" t="s">
        <v>308</v>
      </c>
    </row>
    <row r="31" spans="1:4" s="2" customFormat="1" x14ac:dyDescent="0.25">
      <c r="A31" s="14"/>
      <c r="B31" s="16" t="s">
        <v>126</v>
      </c>
      <c r="C31" s="56" t="s">
        <v>241</v>
      </c>
      <c r="D31" s="16" t="s">
        <v>309</v>
      </c>
    </row>
    <row r="32" spans="1:4" s="2" customFormat="1" x14ac:dyDescent="0.25">
      <c r="A32" s="14"/>
      <c r="B32" s="16" t="s">
        <v>127</v>
      </c>
      <c r="C32" s="56" t="s">
        <v>293</v>
      </c>
      <c r="D32" s="16" t="s">
        <v>310</v>
      </c>
    </row>
    <row r="33" spans="1:4" s="2" customFormat="1" x14ac:dyDescent="0.25">
      <c r="A33" s="14"/>
      <c r="B33" s="16" t="s">
        <v>128</v>
      </c>
      <c r="C33" s="56" t="s">
        <v>242</v>
      </c>
      <c r="D33" s="16" t="s">
        <v>311</v>
      </c>
    </row>
    <row r="34" spans="1:4" s="2" customFormat="1" x14ac:dyDescent="0.25">
      <c r="A34" s="14"/>
      <c r="B34" s="16" t="s">
        <v>129</v>
      </c>
      <c r="C34" s="56" t="s">
        <v>243</v>
      </c>
      <c r="D34" s="16" t="s">
        <v>311</v>
      </c>
    </row>
    <row r="35" spans="1:4" s="2" customFormat="1" ht="25.5" x14ac:dyDescent="0.25">
      <c r="A35" s="14"/>
      <c r="B35" s="16" t="s">
        <v>130</v>
      </c>
      <c r="C35" s="56" t="s">
        <v>244</v>
      </c>
      <c r="D35" s="16" t="s">
        <v>311</v>
      </c>
    </row>
    <row r="36" spans="1:4" s="2" customFormat="1" x14ac:dyDescent="0.25">
      <c r="A36" s="14"/>
      <c r="B36" s="16" t="s">
        <v>131</v>
      </c>
      <c r="C36" s="56" t="s">
        <v>245</v>
      </c>
      <c r="D36" s="16" t="s">
        <v>312</v>
      </c>
    </row>
    <row r="37" spans="1:4" s="2" customFormat="1" ht="25.5" x14ac:dyDescent="0.25">
      <c r="A37" s="14"/>
      <c r="B37" s="16" t="s">
        <v>132</v>
      </c>
      <c r="C37" s="56" t="s">
        <v>247</v>
      </c>
      <c r="D37" s="16" t="s">
        <v>313</v>
      </c>
    </row>
    <row r="38" spans="1:4" s="2" customFormat="1" x14ac:dyDescent="0.25">
      <c r="A38" s="14"/>
      <c r="B38" s="16" t="s">
        <v>133</v>
      </c>
      <c r="C38" s="56" t="s">
        <v>246</v>
      </c>
      <c r="D38" s="16" t="s">
        <v>314</v>
      </c>
    </row>
    <row r="39" spans="1:4" s="2" customFormat="1" x14ac:dyDescent="0.25">
      <c r="A39" s="14"/>
      <c r="B39" s="16" t="s">
        <v>134</v>
      </c>
      <c r="C39" s="56" t="s">
        <v>248</v>
      </c>
      <c r="D39" s="16" t="s">
        <v>315</v>
      </c>
    </row>
    <row r="40" spans="1:4" s="2" customFormat="1" x14ac:dyDescent="0.25">
      <c r="A40" s="14"/>
      <c r="B40" s="16" t="s">
        <v>135</v>
      </c>
      <c r="C40" s="56" t="s">
        <v>249</v>
      </c>
      <c r="D40" s="16" t="s">
        <v>316</v>
      </c>
    </row>
    <row r="41" spans="1:4" s="2" customFormat="1" x14ac:dyDescent="0.25">
      <c r="A41" s="14"/>
      <c r="B41" s="16" t="s">
        <v>136</v>
      </c>
      <c r="C41" s="56" t="s">
        <v>250</v>
      </c>
      <c r="D41" s="16" t="s">
        <v>302</v>
      </c>
    </row>
    <row r="42" spans="1:4" s="2" customFormat="1" x14ac:dyDescent="0.25">
      <c r="A42" s="14"/>
      <c r="B42" s="16" t="s">
        <v>137</v>
      </c>
      <c r="C42" s="57" t="s">
        <v>251</v>
      </c>
      <c r="D42" s="16" t="s">
        <v>317</v>
      </c>
    </row>
    <row r="43" spans="1:4" s="2" customFormat="1" x14ac:dyDescent="0.25">
      <c r="A43" s="14"/>
      <c r="B43" s="16" t="s">
        <v>138</v>
      </c>
      <c r="C43" s="57" t="s">
        <v>252</v>
      </c>
      <c r="D43" s="16" t="s">
        <v>317</v>
      </c>
    </row>
    <row r="44" spans="1:4" s="2" customFormat="1" x14ac:dyDescent="0.25">
      <c r="A44" s="14"/>
      <c r="B44" s="16" t="s">
        <v>139</v>
      </c>
      <c r="C44" s="57" t="s">
        <v>253</v>
      </c>
      <c r="D44" s="16" t="s">
        <v>317</v>
      </c>
    </row>
    <row r="45" spans="1:4" s="2" customFormat="1" x14ac:dyDescent="0.25">
      <c r="A45" s="14"/>
      <c r="B45" s="16" t="s">
        <v>140</v>
      </c>
      <c r="C45" s="57" t="s">
        <v>271</v>
      </c>
      <c r="D45" s="16" t="s">
        <v>302</v>
      </c>
    </row>
    <row r="46" spans="1:4" s="2" customFormat="1" x14ac:dyDescent="0.25">
      <c r="A46" s="14"/>
      <c r="B46" s="16" t="s">
        <v>141</v>
      </c>
      <c r="C46" s="57" t="s">
        <v>272</v>
      </c>
      <c r="D46" s="16" t="s">
        <v>318</v>
      </c>
    </row>
    <row r="47" spans="1:4" s="2" customFormat="1" x14ac:dyDescent="0.25">
      <c r="A47" s="14"/>
      <c r="B47" s="16" t="s">
        <v>142</v>
      </c>
      <c r="C47" s="57" t="s">
        <v>276</v>
      </c>
      <c r="D47" s="16" t="s">
        <v>315</v>
      </c>
    </row>
    <row r="48" spans="1:4" s="2" customFormat="1" x14ac:dyDescent="0.25">
      <c r="A48" s="14"/>
      <c r="B48" s="16" t="s">
        <v>143</v>
      </c>
      <c r="C48" s="57" t="s">
        <v>73</v>
      </c>
      <c r="D48" s="16" t="s">
        <v>314</v>
      </c>
    </row>
    <row r="49" spans="1:4" s="2" customFormat="1" x14ac:dyDescent="0.25">
      <c r="A49" s="14"/>
      <c r="B49" s="16" t="s">
        <v>144</v>
      </c>
      <c r="C49" s="57" t="s">
        <v>237</v>
      </c>
      <c r="D49" s="16" t="s">
        <v>315</v>
      </c>
    </row>
    <row r="50" spans="1:4" s="2" customFormat="1" x14ac:dyDescent="0.25">
      <c r="A50" s="14"/>
      <c r="B50" s="16" t="s">
        <v>145</v>
      </c>
      <c r="C50" s="57" t="s">
        <v>238</v>
      </c>
      <c r="D50" s="16" t="s">
        <v>320</v>
      </c>
    </row>
    <row r="51" spans="1:4" s="2" customFormat="1" x14ac:dyDescent="0.25">
      <c r="A51" s="14"/>
      <c r="B51" s="16" t="s">
        <v>146</v>
      </c>
      <c r="C51" s="57" t="s">
        <v>273</v>
      </c>
      <c r="D51" s="16" t="s">
        <v>315</v>
      </c>
    </row>
    <row r="52" spans="1:4" s="2" customFormat="1" ht="25.5" x14ac:dyDescent="0.25">
      <c r="A52" s="14"/>
      <c r="B52" s="16" t="s">
        <v>147</v>
      </c>
      <c r="C52" s="56" t="s">
        <v>268</v>
      </c>
      <c r="D52" s="16" t="s">
        <v>317</v>
      </c>
    </row>
    <row r="53" spans="1:4" s="2" customFormat="1" x14ac:dyDescent="0.25">
      <c r="A53" s="14"/>
      <c r="B53" s="16" t="s">
        <v>148</v>
      </c>
      <c r="C53" s="57" t="s">
        <v>277</v>
      </c>
      <c r="D53" s="16" t="s">
        <v>319</v>
      </c>
    </row>
    <row r="54" spans="1:4" s="2" customFormat="1" ht="25.5" x14ac:dyDescent="0.25">
      <c r="A54" s="14"/>
      <c r="B54" s="16" t="s">
        <v>149</v>
      </c>
      <c r="C54" s="57" t="s">
        <v>236</v>
      </c>
      <c r="D54" s="16" t="s">
        <v>321</v>
      </c>
    </row>
    <row r="55" spans="1:4" s="2" customFormat="1" x14ac:dyDescent="0.25">
      <c r="A55" s="14"/>
      <c r="B55" s="16" t="s">
        <v>150</v>
      </c>
      <c r="C55" s="56" t="s">
        <v>274</v>
      </c>
      <c r="D55" s="16" t="s">
        <v>317</v>
      </c>
    </row>
    <row r="56" spans="1:4" s="2" customFormat="1" ht="25.5" x14ac:dyDescent="0.25">
      <c r="A56" s="14"/>
      <c r="B56" s="16" t="s">
        <v>151</v>
      </c>
      <c r="C56" s="56" t="s">
        <v>66</v>
      </c>
      <c r="D56" s="16" t="s">
        <v>322</v>
      </c>
    </row>
    <row r="57" spans="1:4" s="2" customFormat="1" x14ac:dyDescent="0.25">
      <c r="A57" s="14"/>
      <c r="B57" s="16" t="s">
        <v>152</v>
      </c>
      <c r="C57" s="56" t="s">
        <v>234</v>
      </c>
      <c r="D57" s="16" t="s">
        <v>322</v>
      </c>
    </row>
    <row r="58" spans="1:4" s="2" customFormat="1" x14ac:dyDescent="0.25">
      <c r="A58" s="14"/>
      <c r="B58" s="16" t="s">
        <v>153</v>
      </c>
      <c r="C58" s="56" t="s">
        <v>235</v>
      </c>
      <c r="D58" s="16" t="s">
        <v>322</v>
      </c>
    </row>
    <row r="59" spans="1:4" s="2" customFormat="1" x14ac:dyDescent="0.25">
      <c r="A59" s="14"/>
      <c r="B59" s="16" t="s">
        <v>154</v>
      </c>
      <c r="C59" s="56" t="s">
        <v>233</v>
      </c>
      <c r="D59" s="16" t="s">
        <v>323</v>
      </c>
    </row>
    <row r="60" spans="1:4" s="2" customFormat="1" x14ac:dyDescent="0.25">
      <c r="A60" s="14"/>
      <c r="B60" s="16" t="s">
        <v>155</v>
      </c>
      <c r="C60" s="56" t="s">
        <v>74</v>
      </c>
      <c r="D60" s="16" t="s">
        <v>324</v>
      </c>
    </row>
    <row r="61" spans="1:4" s="2" customFormat="1" x14ac:dyDescent="0.25">
      <c r="A61" s="14"/>
      <c r="B61" s="16" t="s">
        <v>156</v>
      </c>
      <c r="C61" s="56" t="s">
        <v>232</v>
      </c>
      <c r="D61" s="16" t="s">
        <v>325</v>
      </c>
    </row>
    <row r="62" spans="1:4" s="2" customFormat="1" ht="25.5" x14ac:dyDescent="0.25">
      <c r="A62" s="14"/>
      <c r="B62" s="16" t="s">
        <v>157</v>
      </c>
      <c r="C62" s="56" t="s">
        <v>231</v>
      </c>
      <c r="D62" s="16" t="s">
        <v>326</v>
      </c>
    </row>
    <row r="63" spans="1:4" s="2" customFormat="1" x14ac:dyDescent="0.25">
      <c r="A63" s="14"/>
      <c r="B63" s="16" t="s">
        <v>158</v>
      </c>
      <c r="C63" s="56" t="s">
        <v>230</v>
      </c>
      <c r="D63" s="16" t="s">
        <v>327</v>
      </c>
    </row>
    <row r="64" spans="1:4" s="2" customFormat="1" ht="25.5" x14ac:dyDescent="0.25">
      <c r="A64" s="14"/>
      <c r="B64" s="16" t="s">
        <v>159</v>
      </c>
      <c r="C64" s="57" t="s">
        <v>229</v>
      </c>
      <c r="D64" s="16" t="s">
        <v>328</v>
      </c>
    </row>
    <row r="65" spans="1:4" s="2" customFormat="1" ht="25.5" x14ac:dyDescent="0.25">
      <c r="A65" s="14"/>
      <c r="B65" s="16" t="s">
        <v>160</v>
      </c>
      <c r="C65" s="56" t="s">
        <v>329</v>
      </c>
      <c r="D65" s="16" t="s">
        <v>325</v>
      </c>
    </row>
    <row r="66" spans="1:4" s="2" customFormat="1" x14ac:dyDescent="0.25">
      <c r="A66" s="14"/>
      <c r="B66" s="16" t="s">
        <v>161</v>
      </c>
      <c r="C66" s="56" t="s">
        <v>228</v>
      </c>
      <c r="D66" s="16" t="s">
        <v>325</v>
      </c>
    </row>
    <row r="67" spans="1:4" s="2" customFormat="1" x14ac:dyDescent="0.25">
      <c r="A67" s="14"/>
      <c r="B67" s="16" t="s">
        <v>162</v>
      </c>
      <c r="C67" s="56" t="s">
        <v>227</v>
      </c>
      <c r="D67" s="16" t="s">
        <v>325</v>
      </c>
    </row>
    <row r="68" spans="1:4" s="2" customFormat="1" x14ac:dyDescent="0.25">
      <c r="A68" s="14"/>
      <c r="B68" s="16" t="s">
        <v>163</v>
      </c>
      <c r="C68" s="56" t="s">
        <v>226</v>
      </c>
      <c r="D68" s="16" t="s">
        <v>325</v>
      </c>
    </row>
    <row r="69" spans="1:4" ht="25.5" x14ac:dyDescent="0.25">
      <c r="B69" s="16" t="s">
        <v>164</v>
      </c>
      <c r="C69" s="56" t="s">
        <v>225</v>
      </c>
      <c r="D69" s="16" t="s">
        <v>325</v>
      </c>
    </row>
    <row r="70" spans="1:4" ht="25.5" x14ac:dyDescent="0.25">
      <c r="B70" s="16" t="s">
        <v>165</v>
      </c>
      <c r="C70" s="56" t="s">
        <v>224</v>
      </c>
      <c r="D70" s="16" t="s">
        <v>325</v>
      </c>
    </row>
    <row r="71" spans="1:4" x14ac:dyDescent="0.25">
      <c r="B71" s="16" t="s">
        <v>166</v>
      </c>
      <c r="C71" s="56" t="s">
        <v>223</v>
      </c>
      <c r="D71" s="16" t="s">
        <v>325</v>
      </c>
    </row>
    <row r="72" spans="1:4" ht="25.5" x14ac:dyDescent="0.25">
      <c r="B72" s="16" t="s">
        <v>167</v>
      </c>
      <c r="C72" s="56" t="s">
        <v>222</v>
      </c>
      <c r="D72" s="16" t="s">
        <v>325</v>
      </c>
    </row>
    <row r="73" spans="1:4" x14ac:dyDescent="0.25">
      <c r="B73" s="16" t="s">
        <v>168</v>
      </c>
      <c r="C73" s="56" t="s">
        <v>221</v>
      </c>
      <c r="D73" s="16" t="s">
        <v>325</v>
      </c>
    </row>
    <row r="74" spans="1:4" x14ac:dyDescent="0.25">
      <c r="B74" s="16" t="s">
        <v>169</v>
      </c>
      <c r="C74" s="56" t="s">
        <v>220</v>
      </c>
      <c r="D74" s="16" t="s">
        <v>325</v>
      </c>
    </row>
    <row r="75" spans="1:4" x14ac:dyDescent="0.25">
      <c r="B75" s="16" t="s">
        <v>170</v>
      </c>
      <c r="C75" s="56" t="s">
        <v>219</v>
      </c>
      <c r="D75" s="16" t="s">
        <v>299</v>
      </c>
    </row>
    <row r="76" spans="1:4" x14ac:dyDescent="0.25">
      <c r="B76" s="16" t="s">
        <v>171</v>
      </c>
      <c r="C76" s="56" t="s">
        <v>255</v>
      </c>
      <c r="D76" s="16" t="s">
        <v>299</v>
      </c>
    </row>
    <row r="77" spans="1:4" x14ac:dyDescent="0.25">
      <c r="B77" s="16" t="s">
        <v>172</v>
      </c>
      <c r="C77" s="56" t="s">
        <v>75</v>
      </c>
      <c r="D77" s="16" t="s">
        <v>299</v>
      </c>
    </row>
    <row r="78" spans="1:4" x14ac:dyDescent="0.25">
      <c r="B78" s="16" t="s">
        <v>173</v>
      </c>
      <c r="C78" s="82" t="s">
        <v>67</v>
      </c>
      <c r="D78" s="16" t="s">
        <v>299</v>
      </c>
    </row>
    <row r="79" spans="1:4" x14ac:dyDescent="0.25">
      <c r="B79" s="16" t="s">
        <v>174</v>
      </c>
      <c r="C79" s="82" t="s">
        <v>218</v>
      </c>
      <c r="D79" s="16" t="s">
        <v>299</v>
      </c>
    </row>
    <row r="80" spans="1:4" ht="24.75" customHeight="1" x14ac:dyDescent="0.25">
      <c r="B80" s="74" t="s">
        <v>335</v>
      </c>
      <c r="C80" s="73" t="s">
        <v>336</v>
      </c>
      <c r="D80" s="74" t="s">
        <v>320</v>
      </c>
    </row>
    <row r="81" spans="2:4" x14ac:dyDescent="0.25">
      <c r="B81" s="74" t="s">
        <v>337</v>
      </c>
      <c r="C81" s="73" t="s">
        <v>339</v>
      </c>
      <c r="D81" s="74" t="s">
        <v>320</v>
      </c>
    </row>
    <row r="82" spans="2:4" x14ac:dyDescent="0.25">
      <c r="B82" s="74" t="s">
        <v>338</v>
      </c>
      <c r="C82" s="73" t="s">
        <v>340</v>
      </c>
      <c r="D82" s="74" t="s">
        <v>320</v>
      </c>
    </row>
    <row r="83" spans="2:4" x14ac:dyDescent="0.25">
      <c r="B83" s="74" t="s">
        <v>346</v>
      </c>
      <c r="C83" s="73" t="s">
        <v>341</v>
      </c>
      <c r="D83" s="74" t="s">
        <v>322</v>
      </c>
    </row>
    <row r="84" spans="2:4" x14ac:dyDescent="0.25">
      <c r="B84" s="74" t="s">
        <v>347</v>
      </c>
      <c r="C84" s="73" t="s">
        <v>342</v>
      </c>
      <c r="D84" s="74" t="s">
        <v>372</v>
      </c>
    </row>
    <row r="85" spans="2:4" x14ac:dyDescent="0.25">
      <c r="B85" s="74" t="s">
        <v>348</v>
      </c>
      <c r="C85" s="73" t="s">
        <v>343</v>
      </c>
      <c r="D85" s="74" t="s">
        <v>353</v>
      </c>
    </row>
    <row r="86" spans="2:4" x14ac:dyDescent="0.25">
      <c r="B86" s="74" t="s">
        <v>349</v>
      </c>
      <c r="C86" s="73" t="s">
        <v>344</v>
      </c>
      <c r="D86" s="74" t="s">
        <v>353</v>
      </c>
    </row>
    <row r="87" spans="2:4" x14ac:dyDescent="0.25">
      <c r="B87" s="74" t="s">
        <v>350</v>
      </c>
      <c r="C87" s="73" t="s">
        <v>345</v>
      </c>
      <c r="D87" s="74" t="s">
        <v>353</v>
      </c>
    </row>
    <row r="88" spans="2:4" x14ac:dyDescent="0.25">
      <c r="B88" s="74" t="s">
        <v>351</v>
      </c>
      <c r="C88" s="73" t="s">
        <v>352</v>
      </c>
      <c r="D88" s="74" t="s">
        <v>353</v>
      </c>
    </row>
    <row r="89" spans="2:4" x14ac:dyDescent="0.25">
      <c r="B89" s="79" t="s">
        <v>362</v>
      </c>
      <c r="C89" s="73" t="s">
        <v>354</v>
      </c>
      <c r="D89" s="74" t="s">
        <v>313</v>
      </c>
    </row>
    <row r="90" spans="2:4" x14ac:dyDescent="0.25">
      <c r="B90" s="74" t="s">
        <v>363</v>
      </c>
      <c r="C90" s="73" t="s">
        <v>355</v>
      </c>
      <c r="D90" s="74" t="s">
        <v>313</v>
      </c>
    </row>
    <row r="91" spans="2:4" x14ac:dyDescent="0.25">
      <c r="B91" s="74" t="s">
        <v>364</v>
      </c>
      <c r="C91" s="73" t="s">
        <v>356</v>
      </c>
      <c r="D91" s="74" t="s">
        <v>313</v>
      </c>
    </row>
    <row r="92" spans="2:4" x14ac:dyDescent="0.25">
      <c r="B92" s="74" t="s">
        <v>365</v>
      </c>
      <c r="C92" s="73" t="s">
        <v>357</v>
      </c>
      <c r="D92" s="74" t="s">
        <v>313</v>
      </c>
    </row>
    <row r="93" spans="2:4" x14ac:dyDescent="0.25">
      <c r="B93" s="74" t="s">
        <v>366</v>
      </c>
      <c r="C93" s="73" t="s">
        <v>358</v>
      </c>
      <c r="D93" s="74" t="s">
        <v>313</v>
      </c>
    </row>
    <row r="94" spans="2:4" x14ac:dyDescent="0.25">
      <c r="B94" s="74" t="s">
        <v>367</v>
      </c>
      <c r="C94" s="73" t="s">
        <v>359</v>
      </c>
      <c r="D94" s="74" t="s">
        <v>313</v>
      </c>
    </row>
    <row r="95" spans="2:4" x14ac:dyDescent="0.25">
      <c r="B95" s="74" t="s">
        <v>368</v>
      </c>
      <c r="C95" s="73" t="s">
        <v>360</v>
      </c>
      <c r="D95" s="74" t="s">
        <v>313</v>
      </c>
    </row>
    <row r="96" spans="2:4" x14ac:dyDescent="0.25">
      <c r="B96" s="74" t="s">
        <v>369</v>
      </c>
      <c r="C96" s="73" t="s">
        <v>361</v>
      </c>
      <c r="D96" s="74" t="s">
        <v>313</v>
      </c>
    </row>
    <row r="97" spans="2:4" x14ac:dyDescent="0.25">
      <c r="B97" s="74" t="s">
        <v>371</v>
      </c>
      <c r="C97" s="73" t="s">
        <v>370</v>
      </c>
      <c r="D97" s="74" t="s">
        <v>373</v>
      </c>
    </row>
    <row r="98" spans="2:4" x14ac:dyDescent="0.25">
      <c r="C98" s="83"/>
    </row>
    <row r="99" spans="2:4" x14ac:dyDescent="0.25">
      <c r="C99" s="83"/>
    </row>
    <row r="100" spans="2:4" x14ac:dyDescent="0.25">
      <c r="C100" s="83"/>
    </row>
    <row r="101" spans="2:4" x14ac:dyDescent="0.25">
      <c r="C101" s="83"/>
    </row>
  </sheetData>
  <pageMargins left="0.7" right="0.7" top="0.75" bottom="0.75" header="0.3" footer="0.3"/>
  <pageSetup scale="6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1:N61"/>
  <sheetViews>
    <sheetView showGridLines="0" zoomScale="75" zoomScaleNormal="7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Q11" sqref="Q11"/>
    </sheetView>
  </sheetViews>
  <sheetFormatPr defaultColWidth="9.140625" defaultRowHeight="15" x14ac:dyDescent="0.25"/>
  <cols>
    <col min="1" max="1" width="3.7109375" style="9" customWidth="1"/>
    <col min="2" max="2" width="5.42578125" style="7" customWidth="1"/>
    <col min="3" max="3" width="79.28515625" style="7" customWidth="1"/>
    <col min="4" max="5" width="22.5703125" style="7" hidden="1" customWidth="1"/>
    <col min="6" max="6" width="11.140625" style="7" customWidth="1"/>
    <col min="7" max="7" width="18.42578125" style="7" customWidth="1"/>
    <col min="8" max="8" width="16" style="7" customWidth="1"/>
    <col min="9" max="9" width="18" style="7" customWidth="1"/>
    <col min="10" max="11" width="12.85546875" style="7" customWidth="1"/>
    <col min="12" max="13" width="12.85546875" style="60" customWidth="1"/>
    <col min="14" max="14" width="13.5703125" style="9" customWidth="1"/>
    <col min="15" max="16384" width="9.140625" style="9"/>
  </cols>
  <sheetData>
    <row r="1" spans="2:14" s="15" customFormat="1" ht="73.5" customHeight="1" x14ac:dyDescent="0.25">
      <c r="L1" s="47"/>
      <c r="M1" s="47"/>
    </row>
    <row r="2" spans="2:14" s="15" customFormat="1" x14ac:dyDescent="0.25">
      <c r="B2" s="10"/>
      <c r="L2" s="47"/>
      <c r="M2" s="47"/>
    </row>
    <row r="3" spans="2:14" s="15" customFormat="1" x14ac:dyDescent="0.25">
      <c r="B3" s="10" t="s">
        <v>206</v>
      </c>
      <c r="L3" s="47"/>
      <c r="M3" s="47"/>
    </row>
    <row r="4" spans="2:14" s="15" customFormat="1" ht="12.75" x14ac:dyDescent="0.25">
      <c r="B4" s="18" t="s">
        <v>386</v>
      </c>
      <c r="L4" s="47"/>
      <c r="M4" s="47"/>
    </row>
    <row r="5" spans="2:14" s="15" customFormat="1" ht="12.75" x14ac:dyDescent="0.25">
      <c r="B5" s="18"/>
      <c r="L5" s="47"/>
      <c r="M5" s="47"/>
    </row>
    <row r="6" spans="2:14" s="15" customFormat="1" ht="14.45" customHeight="1" thickBot="1" x14ac:dyDescent="0.3">
      <c r="B6" s="38"/>
      <c r="D6" s="68"/>
      <c r="E6" s="68"/>
      <c r="F6" s="115"/>
      <c r="G6" s="116"/>
      <c r="H6" s="116"/>
      <c r="I6" s="116"/>
      <c r="J6" s="116"/>
      <c r="K6" s="117"/>
      <c r="L6" s="67"/>
      <c r="M6" s="52"/>
      <c r="N6" s="88"/>
    </row>
    <row r="7" spans="2:14" ht="39.75" customHeight="1" thickBot="1" x14ac:dyDescent="0.3">
      <c r="B7" s="5" t="s">
        <v>188</v>
      </c>
      <c r="C7" s="66" t="s">
        <v>68</v>
      </c>
      <c r="D7" s="69" t="s">
        <v>330</v>
      </c>
      <c r="E7" s="77" t="s">
        <v>331</v>
      </c>
      <c r="F7" s="70" t="s">
        <v>402</v>
      </c>
      <c r="G7" s="71" t="s">
        <v>403</v>
      </c>
      <c r="H7" s="71" t="s">
        <v>404</v>
      </c>
      <c r="I7" s="71" t="s">
        <v>405</v>
      </c>
      <c r="J7" s="71" t="s">
        <v>407</v>
      </c>
      <c r="K7" s="71" t="s">
        <v>384</v>
      </c>
      <c r="L7" s="71" t="s">
        <v>97</v>
      </c>
      <c r="M7" s="87" t="s">
        <v>95</v>
      </c>
      <c r="N7" s="89" t="s">
        <v>385</v>
      </c>
    </row>
    <row r="8" spans="2:14" ht="63" customHeight="1" x14ac:dyDescent="0.25">
      <c r="B8" s="16" t="s">
        <v>195</v>
      </c>
      <c r="C8" s="51" t="s">
        <v>387</v>
      </c>
      <c r="D8" s="61">
        <f t="shared" ref="D8:D31" si="0">IFERROR(ROUND(((100-0)/100)*(($M8-1)*25),0),"N/A")</f>
        <v>75</v>
      </c>
      <c r="E8" s="62" t="e">
        <f>VLOOKUP(D8,#REF!,3,TRUE)</f>
        <v>#REF!</v>
      </c>
      <c r="F8" s="54">
        <v>1</v>
      </c>
      <c r="G8" s="45">
        <v>1</v>
      </c>
      <c r="H8" s="45">
        <v>0</v>
      </c>
      <c r="I8" s="45">
        <v>0</v>
      </c>
      <c r="J8" s="43">
        <v>0</v>
      </c>
      <c r="K8" s="45">
        <f>SUM(F8:I8)</f>
        <v>2</v>
      </c>
      <c r="L8" s="45">
        <v>4</v>
      </c>
      <c r="M8" s="54">
        <v>4</v>
      </c>
      <c r="N8" s="98" t="s">
        <v>390</v>
      </c>
    </row>
    <row r="9" spans="2:14" ht="30" x14ac:dyDescent="0.25">
      <c r="B9" s="16" t="s">
        <v>196</v>
      </c>
      <c r="C9" s="51" t="s">
        <v>388</v>
      </c>
      <c r="D9" s="61">
        <f t="shared" si="0"/>
        <v>75</v>
      </c>
      <c r="E9" s="62" t="e">
        <f>VLOOKUP(D9,#REF!,3,TRUE)</f>
        <v>#REF!</v>
      </c>
      <c r="F9" s="54">
        <v>1</v>
      </c>
      <c r="G9" s="45">
        <v>1</v>
      </c>
      <c r="H9" s="45">
        <v>0.5</v>
      </c>
      <c r="I9" s="45">
        <v>0</v>
      </c>
      <c r="J9" s="43">
        <v>0</v>
      </c>
      <c r="K9" s="45">
        <f t="shared" ref="K9:K10" si="1">SUM(F9:I9)</f>
        <v>2.5</v>
      </c>
      <c r="L9" s="45">
        <v>3.5</v>
      </c>
      <c r="M9" s="54">
        <v>4</v>
      </c>
      <c r="N9" s="98" t="s">
        <v>390</v>
      </c>
    </row>
    <row r="10" spans="2:14" ht="82.5" customHeight="1" x14ac:dyDescent="0.25">
      <c r="B10" s="16" t="s">
        <v>197</v>
      </c>
      <c r="C10" s="51" t="s">
        <v>389</v>
      </c>
      <c r="D10" s="61">
        <f t="shared" si="0"/>
        <v>75</v>
      </c>
      <c r="E10" s="62" t="e">
        <f>VLOOKUP(D10,#REF!,3,TRUE)</f>
        <v>#REF!</v>
      </c>
      <c r="F10" s="54">
        <v>1</v>
      </c>
      <c r="G10" s="45">
        <v>0.5</v>
      </c>
      <c r="H10" s="45">
        <v>1</v>
      </c>
      <c r="I10" s="45">
        <v>0.5</v>
      </c>
      <c r="J10" s="43">
        <v>0</v>
      </c>
      <c r="K10" s="45">
        <f t="shared" si="1"/>
        <v>3</v>
      </c>
      <c r="L10" s="45">
        <v>2</v>
      </c>
      <c r="M10" s="54">
        <v>4</v>
      </c>
      <c r="N10" s="132" t="s">
        <v>96</v>
      </c>
    </row>
    <row r="11" spans="2:14" x14ac:dyDescent="0.25">
      <c r="B11" s="16"/>
      <c r="C11" s="53"/>
      <c r="D11" s="61">
        <f t="shared" si="0"/>
        <v>-25</v>
      </c>
      <c r="E11" s="62" t="e">
        <f>VLOOKUP(D11,#REF!,3,TRUE)</f>
        <v>#REF!</v>
      </c>
      <c r="F11" s="54"/>
      <c r="G11" s="45"/>
      <c r="H11" s="45"/>
      <c r="I11" s="45"/>
      <c r="J11" s="43"/>
      <c r="K11" s="45"/>
      <c r="L11" s="45"/>
      <c r="M11" s="54"/>
      <c r="N11" s="99"/>
    </row>
    <row r="12" spans="2:14" x14ac:dyDescent="0.25">
      <c r="B12" s="16"/>
      <c r="C12" s="53"/>
      <c r="D12" s="61">
        <f t="shared" si="0"/>
        <v>-25</v>
      </c>
      <c r="E12" s="62" t="e">
        <f>VLOOKUP(D12,#REF!,3,TRUE)</f>
        <v>#REF!</v>
      </c>
      <c r="F12" s="54"/>
      <c r="G12" s="45"/>
      <c r="H12" s="45"/>
      <c r="I12" s="45"/>
      <c r="J12" s="43"/>
      <c r="K12" s="45"/>
      <c r="L12" s="45"/>
      <c r="M12" s="54"/>
      <c r="N12" s="99"/>
    </row>
    <row r="13" spans="2:14" x14ac:dyDescent="0.25">
      <c r="B13" s="16"/>
      <c r="C13" s="53"/>
      <c r="D13" s="61">
        <f t="shared" si="0"/>
        <v>-25</v>
      </c>
      <c r="E13" s="62" t="e">
        <f>VLOOKUP(D13,#REF!,3,TRUE)</f>
        <v>#REF!</v>
      </c>
      <c r="F13" s="54"/>
      <c r="G13" s="45"/>
      <c r="H13" s="45"/>
      <c r="I13" s="45"/>
      <c r="J13" s="45"/>
      <c r="K13" s="45"/>
      <c r="L13" s="45"/>
      <c r="M13" s="54"/>
      <c r="N13" s="99"/>
    </row>
    <row r="14" spans="2:14" x14ac:dyDescent="0.25">
      <c r="B14" s="16"/>
      <c r="C14" s="53"/>
      <c r="D14" s="61">
        <f t="shared" si="0"/>
        <v>-25</v>
      </c>
      <c r="E14" s="62" t="e">
        <f>VLOOKUP(D14,#REF!,3,TRUE)</f>
        <v>#REF!</v>
      </c>
      <c r="F14" s="54"/>
      <c r="G14" s="45"/>
      <c r="H14" s="45"/>
      <c r="I14" s="45"/>
      <c r="J14" s="45"/>
      <c r="K14" s="45"/>
      <c r="L14" s="45"/>
      <c r="M14" s="54"/>
      <c r="N14" s="99"/>
    </row>
    <row r="15" spans="2:14" x14ac:dyDescent="0.25">
      <c r="B15" s="16"/>
      <c r="C15" s="53"/>
      <c r="D15" s="61">
        <f t="shared" si="0"/>
        <v>-25</v>
      </c>
      <c r="E15" s="62" t="e">
        <f>VLOOKUP(D15,#REF!,3,TRUE)</f>
        <v>#REF!</v>
      </c>
      <c r="F15" s="54"/>
      <c r="G15" s="45"/>
      <c r="H15" s="45"/>
      <c r="I15" s="45"/>
      <c r="J15" s="45"/>
      <c r="K15" s="45"/>
      <c r="L15" s="45"/>
      <c r="M15" s="54"/>
      <c r="N15" s="99"/>
    </row>
    <row r="16" spans="2:14" x14ac:dyDescent="0.25">
      <c r="B16" s="16"/>
      <c r="C16" s="53"/>
      <c r="D16" s="61">
        <f t="shared" si="0"/>
        <v>-25</v>
      </c>
      <c r="E16" s="62" t="e">
        <f>VLOOKUP(D16,#REF!,3,TRUE)</f>
        <v>#REF!</v>
      </c>
      <c r="F16" s="54"/>
      <c r="G16" s="45"/>
      <c r="H16" s="45"/>
      <c r="I16" s="45"/>
      <c r="J16" s="45"/>
      <c r="K16" s="45"/>
      <c r="L16" s="45"/>
      <c r="M16" s="54"/>
      <c r="N16" s="99"/>
    </row>
    <row r="17" spans="2:14" x14ac:dyDescent="0.25">
      <c r="B17" s="16"/>
      <c r="C17" s="63"/>
      <c r="D17" s="61">
        <f t="shared" si="0"/>
        <v>-25</v>
      </c>
      <c r="E17" s="62" t="e">
        <f>VLOOKUP(D17,#REF!,3,TRUE)</f>
        <v>#REF!</v>
      </c>
      <c r="F17" s="54"/>
      <c r="G17" s="45"/>
      <c r="H17" s="45"/>
      <c r="I17" s="45"/>
      <c r="J17" s="45"/>
      <c r="K17" s="45"/>
      <c r="L17" s="45"/>
      <c r="M17" s="54"/>
      <c r="N17" s="99"/>
    </row>
    <row r="18" spans="2:14" x14ac:dyDescent="0.25">
      <c r="B18" s="16"/>
      <c r="C18" s="53"/>
      <c r="D18" s="61">
        <f t="shared" si="0"/>
        <v>-25</v>
      </c>
      <c r="E18" s="62" t="e">
        <f>VLOOKUP(D18,#REF!,3,TRUE)</f>
        <v>#REF!</v>
      </c>
      <c r="F18" s="54"/>
      <c r="G18" s="45"/>
      <c r="H18" s="45"/>
      <c r="I18" s="45"/>
      <c r="J18" s="45"/>
      <c r="K18" s="45"/>
      <c r="L18" s="45"/>
      <c r="M18" s="54"/>
      <c r="N18" s="99"/>
    </row>
    <row r="19" spans="2:14" x14ac:dyDescent="0.25">
      <c r="B19" s="16"/>
      <c r="C19" s="63"/>
      <c r="D19" s="61">
        <f t="shared" si="0"/>
        <v>-25</v>
      </c>
      <c r="E19" s="62" t="e">
        <f>VLOOKUP(D19,#REF!,3,TRUE)</f>
        <v>#REF!</v>
      </c>
      <c r="F19" s="54"/>
      <c r="G19" s="45"/>
      <c r="H19" s="45"/>
      <c r="I19" s="58"/>
      <c r="J19" s="58"/>
      <c r="K19" s="45"/>
      <c r="L19" s="59"/>
      <c r="M19" s="59"/>
      <c r="N19" s="99"/>
    </row>
    <row r="20" spans="2:14" x14ac:dyDescent="0.25">
      <c r="B20" s="16"/>
      <c r="C20" s="53"/>
      <c r="D20" s="61">
        <f t="shared" si="0"/>
        <v>-25</v>
      </c>
      <c r="E20" s="62" t="e">
        <f>VLOOKUP(D20,#REF!,3,TRUE)</f>
        <v>#REF!</v>
      </c>
      <c r="F20" s="58"/>
      <c r="G20" s="58"/>
      <c r="H20" s="45"/>
      <c r="I20" s="58"/>
      <c r="J20" s="58"/>
      <c r="K20" s="45"/>
      <c r="L20" s="59"/>
      <c r="M20" s="59"/>
      <c r="N20" s="99"/>
    </row>
    <row r="21" spans="2:14" x14ac:dyDescent="0.25">
      <c r="B21" s="16"/>
      <c r="C21" s="53"/>
      <c r="D21" s="61">
        <f t="shared" si="0"/>
        <v>-25</v>
      </c>
      <c r="E21" s="62" t="e">
        <f>VLOOKUP(D21,#REF!,3,TRUE)</f>
        <v>#REF!</v>
      </c>
      <c r="F21" s="58"/>
      <c r="G21" s="58"/>
      <c r="H21" s="45"/>
      <c r="I21" s="58"/>
      <c r="J21" s="58"/>
      <c r="K21" s="45"/>
      <c r="L21" s="59"/>
      <c r="M21" s="59"/>
      <c r="N21" s="99"/>
    </row>
    <row r="22" spans="2:14" x14ac:dyDescent="0.25">
      <c r="B22" s="16"/>
      <c r="C22" s="53"/>
      <c r="D22" s="61">
        <f t="shared" si="0"/>
        <v>-25</v>
      </c>
      <c r="E22" s="62" t="e">
        <f>VLOOKUP(D22,#REF!,3,TRUE)</f>
        <v>#REF!</v>
      </c>
      <c r="F22" s="58"/>
      <c r="G22" s="58"/>
      <c r="H22" s="45"/>
      <c r="I22" s="58"/>
      <c r="J22" s="58"/>
      <c r="K22" s="45"/>
      <c r="L22" s="59"/>
      <c r="M22" s="59"/>
      <c r="N22" s="99"/>
    </row>
    <row r="23" spans="2:14" x14ac:dyDescent="0.25">
      <c r="B23" s="16"/>
      <c r="C23" s="53"/>
      <c r="D23" s="61">
        <f t="shared" si="0"/>
        <v>-25</v>
      </c>
      <c r="E23" s="62" t="e">
        <f>VLOOKUP(D23,#REF!,3,TRUE)</f>
        <v>#REF!</v>
      </c>
      <c r="F23" s="58"/>
      <c r="G23" s="58"/>
      <c r="H23" s="45"/>
      <c r="I23" s="58"/>
      <c r="J23" s="58"/>
      <c r="K23" s="45"/>
      <c r="L23" s="59"/>
      <c r="M23" s="59"/>
      <c r="N23" s="99"/>
    </row>
    <row r="24" spans="2:14" x14ac:dyDescent="0.25">
      <c r="B24" s="16"/>
      <c r="C24" s="53"/>
      <c r="D24" s="61">
        <f t="shared" si="0"/>
        <v>-25</v>
      </c>
      <c r="E24" s="62" t="e">
        <f>VLOOKUP(D24,#REF!,3,TRUE)</f>
        <v>#REF!</v>
      </c>
      <c r="F24" s="58"/>
      <c r="G24" s="58"/>
      <c r="H24" s="45"/>
      <c r="I24" s="58"/>
      <c r="J24" s="58"/>
      <c r="K24" s="45"/>
      <c r="L24" s="59"/>
      <c r="M24" s="59"/>
      <c r="N24" s="99"/>
    </row>
    <row r="25" spans="2:14" x14ac:dyDescent="0.25">
      <c r="B25" s="16"/>
      <c r="C25" s="53"/>
      <c r="D25" s="61">
        <f t="shared" si="0"/>
        <v>-25</v>
      </c>
      <c r="E25" s="62" t="e">
        <f>VLOOKUP(D25,#REF!,3,TRUE)</f>
        <v>#REF!</v>
      </c>
      <c r="F25" s="58"/>
      <c r="G25" s="58"/>
      <c r="H25" s="45"/>
      <c r="I25" s="58"/>
      <c r="J25" s="58"/>
      <c r="K25" s="45"/>
      <c r="L25" s="59"/>
      <c r="M25" s="59"/>
      <c r="N25" s="99"/>
    </row>
    <row r="26" spans="2:14" x14ac:dyDescent="0.25">
      <c r="B26" s="16"/>
      <c r="C26" s="53"/>
      <c r="D26" s="61">
        <f t="shared" si="0"/>
        <v>-25</v>
      </c>
      <c r="E26" s="62" t="e">
        <f>VLOOKUP(D26,#REF!,3,TRUE)</f>
        <v>#REF!</v>
      </c>
      <c r="F26" s="58"/>
      <c r="G26" s="58"/>
      <c r="H26" s="45"/>
      <c r="I26" s="58"/>
      <c r="J26" s="58"/>
      <c r="K26" s="45"/>
      <c r="L26" s="59"/>
      <c r="M26" s="59"/>
      <c r="N26" s="99"/>
    </row>
    <row r="27" spans="2:14" x14ac:dyDescent="0.25">
      <c r="B27" s="16"/>
      <c r="C27" s="53"/>
      <c r="D27" s="61">
        <f t="shared" si="0"/>
        <v>-25</v>
      </c>
      <c r="E27" s="62" t="e">
        <f>VLOOKUP(D27,#REF!,3,TRUE)</f>
        <v>#REF!</v>
      </c>
      <c r="F27" s="58"/>
      <c r="G27" s="58"/>
      <c r="H27" s="45"/>
      <c r="I27" s="58"/>
      <c r="J27" s="58"/>
      <c r="K27" s="45"/>
      <c r="L27" s="59"/>
      <c r="M27" s="59"/>
      <c r="N27" s="99"/>
    </row>
    <row r="28" spans="2:14" x14ac:dyDescent="0.25">
      <c r="B28" s="16"/>
      <c r="C28" s="53"/>
      <c r="D28" s="61">
        <f t="shared" si="0"/>
        <v>-25</v>
      </c>
      <c r="E28" s="62" t="e">
        <f>VLOOKUP(D28,#REF!,3,TRUE)</f>
        <v>#REF!</v>
      </c>
      <c r="F28" s="58"/>
      <c r="G28" s="58"/>
      <c r="H28" s="45"/>
      <c r="I28" s="58"/>
      <c r="J28" s="58"/>
      <c r="K28" s="45"/>
      <c r="L28" s="59"/>
      <c r="M28" s="59"/>
      <c r="N28" s="99"/>
    </row>
    <row r="29" spans="2:14" x14ac:dyDescent="0.25">
      <c r="B29" s="16"/>
      <c r="C29" s="53"/>
      <c r="D29" s="61">
        <f t="shared" si="0"/>
        <v>-25</v>
      </c>
      <c r="E29" s="62" t="e">
        <f>VLOOKUP(D29,#REF!,3,TRUE)</f>
        <v>#REF!</v>
      </c>
      <c r="F29" s="58"/>
      <c r="G29" s="58"/>
      <c r="H29" s="58"/>
      <c r="I29" s="58"/>
      <c r="J29" s="58"/>
      <c r="K29" s="45"/>
      <c r="L29" s="59"/>
      <c r="M29" s="59"/>
      <c r="N29" s="99"/>
    </row>
    <row r="30" spans="2:14" x14ac:dyDescent="0.25">
      <c r="B30" s="16"/>
      <c r="C30" s="53"/>
      <c r="D30" s="61">
        <f t="shared" si="0"/>
        <v>-25</v>
      </c>
      <c r="E30" s="62" t="e">
        <f>VLOOKUP(D30,#REF!,3,TRUE)</f>
        <v>#REF!</v>
      </c>
      <c r="F30" s="58"/>
      <c r="G30" s="58"/>
      <c r="H30" s="58"/>
      <c r="I30" s="58"/>
      <c r="J30" s="58"/>
      <c r="K30" s="45"/>
      <c r="L30" s="59"/>
      <c r="M30" s="59"/>
      <c r="N30" s="99"/>
    </row>
    <row r="31" spans="2:14" x14ac:dyDescent="0.25">
      <c r="B31" s="16"/>
      <c r="C31" s="53"/>
      <c r="D31" s="61">
        <f t="shared" si="0"/>
        <v>-25</v>
      </c>
      <c r="E31" s="62" t="e">
        <f>VLOOKUP(D31,#REF!,3,TRUE)</f>
        <v>#REF!</v>
      </c>
      <c r="F31" s="58"/>
      <c r="G31" s="58"/>
      <c r="H31" s="58"/>
      <c r="I31" s="58"/>
      <c r="J31" s="58"/>
      <c r="K31" s="45"/>
      <c r="L31" s="59"/>
      <c r="M31" s="59"/>
      <c r="N31" s="99"/>
    </row>
    <row r="32" spans="2:14" x14ac:dyDescent="0.25">
      <c r="B32" s="16"/>
      <c r="C32" s="53"/>
      <c r="D32" s="61">
        <f>IFERROR(ROUND(((100-0)/100)*(($M32-1)*25),0),"N/A")</f>
        <v>-25</v>
      </c>
      <c r="E32" s="62" t="e">
        <f>VLOOKUP(D32,#REF!,3,TRUE)</f>
        <v>#REF!</v>
      </c>
      <c r="F32" s="58"/>
      <c r="G32" s="58"/>
      <c r="H32" s="58"/>
      <c r="I32" s="58"/>
      <c r="J32" s="58"/>
      <c r="K32" s="45"/>
      <c r="L32" s="59"/>
      <c r="M32" s="59"/>
      <c r="N32" s="99"/>
    </row>
    <row r="33" spans="2:14" x14ac:dyDescent="0.25">
      <c r="B33" s="16"/>
      <c r="C33" s="53"/>
      <c r="D33" s="61">
        <f t="shared" ref="D33:D61" si="2">IFERROR(ROUND(((100-0)/100)*(($M33-1)*25),0),"N/A")</f>
        <v>-25</v>
      </c>
      <c r="E33" s="62" t="e">
        <f>VLOOKUP(D33,#REF!,3,TRUE)</f>
        <v>#REF!</v>
      </c>
      <c r="F33" s="58"/>
      <c r="G33" s="58"/>
      <c r="H33" s="45"/>
      <c r="I33" s="58"/>
      <c r="J33" s="58"/>
      <c r="K33" s="45"/>
      <c r="L33" s="59"/>
      <c r="M33" s="59"/>
      <c r="N33" s="99"/>
    </row>
    <row r="34" spans="2:14" x14ac:dyDescent="0.25">
      <c r="B34" s="16"/>
      <c r="C34" s="53"/>
      <c r="D34" s="61">
        <f t="shared" si="2"/>
        <v>-25</v>
      </c>
      <c r="E34" s="62" t="e">
        <f>VLOOKUP(D34,#REF!,3,TRUE)</f>
        <v>#REF!</v>
      </c>
      <c r="F34" s="58"/>
      <c r="G34" s="58"/>
      <c r="H34" s="45"/>
      <c r="I34" s="58"/>
      <c r="J34" s="58"/>
      <c r="K34" s="45"/>
      <c r="L34" s="59"/>
      <c r="M34" s="59"/>
      <c r="N34" s="99"/>
    </row>
    <row r="35" spans="2:14" x14ac:dyDescent="0.25">
      <c r="B35" s="16"/>
      <c r="C35" s="63"/>
      <c r="D35" s="61">
        <f t="shared" si="2"/>
        <v>-25</v>
      </c>
      <c r="E35" s="62" t="e">
        <f>VLOOKUP(D35,#REF!,3,TRUE)</f>
        <v>#REF!</v>
      </c>
      <c r="F35" s="64"/>
      <c r="G35" s="64"/>
      <c r="H35" s="45"/>
      <c r="I35" s="64"/>
      <c r="J35" s="64"/>
      <c r="K35" s="45"/>
      <c r="L35" s="65"/>
      <c r="M35" s="65"/>
      <c r="N35" s="99"/>
    </row>
    <row r="36" spans="2:14" x14ac:dyDescent="0.25">
      <c r="B36" s="16"/>
      <c r="C36" s="53"/>
      <c r="D36" s="61">
        <f t="shared" si="2"/>
        <v>-25</v>
      </c>
      <c r="E36" s="62" t="e">
        <f>VLOOKUP(D36,#REF!,3,TRUE)</f>
        <v>#REF!</v>
      </c>
      <c r="F36" s="58"/>
      <c r="G36" s="58"/>
      <c r="H36" s="45"/>
      <c r="I36" s="58"/>
      <c r="J36" s="58"/>
      <c r="K36" s="45"/>
      <c r="L36" s="59"/>
      <c r="M36" s="59"/>
      <c r="N36" s="99"/>
    </row>
    <row r="37" spans="2:14" x14ac:dyDescent="0.25">
      <c r="B37" s="16"/>
      <c r="C37" s="63"/>
      <c r="D37" s="61">
        <f t="shared" si="2"/>
        <v>-25</v>
      </c>
      <c r="E37" s="62" t="e">
        <f>VLOOKUP(D37,#REF!,3,TRUE)</f>
        <v>#REF!</v>
      </c>
      <c r="F37" s="64"/>
      <c r="G37" s="64"/>
      <c r="H37" s="45"/>
      <c r="I37" s="64"/>
      <c r="J37" s="64"/>
      <c r="K37" s="45"/>
      <c r="L37" s="65"/>
      <c r="M37" s="65"/>
      <c r="N37" s="99"/>
    </row>
    <row r="38" spans="2:14" x14ac:dyDescent="0.25">
      <c r="B38" s="16"/>
      <c r="C38" s="53"/>
      <c r="D38" s="61">
        <f t="shared" si="2"/>
        <v>-25</v>
      </c>
      <c r="E38" s="62" t="e">
        <f>VLOOKUP(D38,#REF!,3,TRUE)</f>
        <v>#REF!</v>
      </c>
      <c r="F38" s="58"/>
      <c r="G38" s="58"/>
      <c r="H38" s="45"/>
      <c r="I38" s="58"/>
      <c r="J38" s="58"/>
      <c r="K38" s="45"/>
      <c r="L38" s="59"/>
      <c r="M38" s="59"/>
      <c r="N38" s="99"/>
    </row>
    <row r="39" spans="2:14" x14ac:dyDescent="0.25">
      <c r="B39" s="16"/>
      <c r="C39" s="53"/>
      <c r="D39" s="61">
        <f t="shared" si="2"/>
        <v>-25</v>
      </c>
      <c r="E39" s="62" t="e">
        <f>VLOOKUP(D39,#REF!,3,TRUE)</f>
        <v>#REF!</v>
      </c>
      <c r="F39" s="58"/>
      <c r="G39" s="58"/>
      <c r="H39" s="45"/>
      <c r="I39" s="58"/>
      <c r="J39" s="58"/>
      <c r="K39" s="45"/>
      <c r="L39" s="59"/>
      <c r="M39" s="59"/>
      <c r="N39" s="99"/>
    </row>
    <row r="40" spans="2:14" x14ac:dyDescent="0.25">
      <c r="B40" s="16"/>
      <c r="C40" s="53"/>
      <c r="D40" s="61">
        <f t="shared" si="2"/>
        <v>-25</v>
      </c>
      <c r="E40" s="62" t="e">
        <f>VLOOKUP(D40,#REF!,3,TRUE)</f>
        <v>#REF!</v>
      </c>
      <c r="F40" s="58"/>
      <c r="G40" s="58"/>
      <c r="H40" s="45"/>
      <c r="I40" s="58"/>
      <c r="J40" s="58"/>
      <c r="K40" s="45"/>
      <c r="L40" s="59"/>
      <c r="M40" s="59"/>
      <c r="N40" s="99"/>
    </row>
    <row r="41" spans="2:14" x14ac:dyDescent="0.25">
      <c r="B41" s="16"/>
      <c r="C41" s="53"/>
      <c r="D41" s="61">
        <f t="shared" si="2"/>
        <v>-25</v>
      </c>
      <c r="E41" s="62" t="e">
        <f>VLOOKUP(D41,#REF!,3,TRUE)</f>
        <v>#REF!</v>
      </c>
      <c r="F41" s="58"/>
      <c r="G41" s="58"/>
      <c r="H41" s="45"/>
      <c r="I41" s="58"/>
      <c r="J41" s="58"/>
      <c r="K41" s="45"/>
      <c r="L41" s="59"/>
      <c r="M41" s="59"/>
      <c r="N41" s="99"/>
    </row>
    <row r="42" spans="2:14" x14ac:dyDescent="0.25">
      <c r="B42" s="16"/>
      <c r="C42" s="53"/>
      <c r="D42" s="61">
        <f t="shared" si="2"/>
        <v>-25</v>
      </c>
      <c r="E42" s="62" t="e">
        <f>VLOOKUP(D42,#REF!,3,TRUE)</f>
        <v>#REF!</v>
      </c>
      <c r="F42" s="58"/>
      <c r="G42" s="58"/>
      <c r="H42" s="45"/>
      <c r="I42" s="58"/>
      <c r="J42" s="58"/>
      <c r="K42" s="45"/>
      <c r="L42" s="59"/>
      <c r="M42" s="59"/>
      <c r="N42" s="99"/>
    </row>
    <row r="43" spans="2:14" x14ac:dyDescent="0.25">
      <c r="B43" s="16"/>
      <c r="C43" s="53"/>
      <c r="D43" s="61">
        <f t="shared" si="2"/>
        <v>-25</v>
      </c>
      <c r="E43" s="62" t="e">
        <f>VLOOKUP(D43,#REF!,3,TRUE)</f>
        <v>#REF!</v>
      </c>
      <c r="F43" s="58"/>
      <c r="G43" s="58"/>
      <c r="H43" s="45"/>
      <c r="I43" s="58"/>
      <c r="J43" s="58"/>
      <c r="K43" s="45"/>
      <c r="L43" s="59"/>
      <c r="M43" s="59"/>
      <c r="N43" s="99"/>
    </row>
    <row r="44" spans="2:14" x14ac:dyDescent="0.25">
      <c r="B44" s="16"/>
      <c r="C44" s="53"/>
      <c r="D44" s="61">
        <f t="shared" si="2"/>
        <v>-25</v>
      </c>
      <c r="E44" s="62" t="e">
        <f>VLOOKUP(D44,#REF!,3,TRUE)</f>
        <v>#REF!</v>
      </c>
      <c r="F44" s="58"/>
      <c r="G44" s="58"/>
      <c r="H44" s="45"/>
      <c r="I44" s="58"/>
      <c r="J44" s="58"/>
      <c r="K44" s="45"/>
      <c r="L44" s="59"/>
      <c r="M44" s="59"/>
      <c r="N44" s="99"/>
    </row>
    <row r="45" spans="2:14" x14ac:dyDescent="0.25">
      <c r="B45" s="16"/>
      <c r="C45" s="53"/>
      <c r="D45" s="61">
        <f t="shared" si="2"/>
        <v>-25</v>
      </c>
      <c r="E45" s="62" t="e">
        <f>VLOOKUP(D45,#REF!,3,TRUE)</f>
        <v>#REF!</v>
      </c>
      <c r="F45" s="58"/>
      <c r="G45" s="58"/>
      <c r="H45" s="45"/>
      <c r="I45" s="58"/>
      <c r="J45" s="58"/>
      <c r="K45" s="45"/>
      <c r="L45" s="59"/>
      <c r="M45" s="59"/>
      <c r="N45" s="99"/>
    </row>
    <row r="46" spans="2:14" x14ac:dyDescent="0.25">
      <c r="B46" s="16"/>
      <c r="C46" s="53"/>
      <c r="D46" s="61">
        <f t="shared" si="2"/>
        <v>-25</v>
      </c>
      <c r="E46" s="62" t="e">
        <f>VLOOKUP(D46,#REF!,3,TRUE)</f>
        <v>#REF!</v>
      </c>
      <c r="F46" s="58"/>
      <c r="G46" s="58"/>
      <c r="H46" s="45"/>
      <c r="I46" s="58"/>
      <c r="J46" s="58"/>
      <c r="K46" s="45"/>
      <c r="L46" s="59"/>
      <c r="M46" s="59"/>
      <c r="N46" s="99"/>
    </row>
    <row r="47" spans="2:14" x14ac:dyDescent="0.25">
      <c r="B47" s="16"/>
      <c r="C47" s="53"/>
      <c r="D47" s="61">
        <f t="shared" si="2"/>
        <v>-25</v>
      </c>
      <c r="E47" s="62" t="e">
        <f>VLOOKUP(D47,#REF!,3,TRUE)</f>
        <v>#REF!</v>
      </c>
      <c r="F47" s="58"/>
      <c r="G47" s="58"/>
      <c r="H47" s="45"/>
      <c r="I47" s="58"/>
      <c r="J47" s="58"/>
      <c r="K47" s="45"/>
      <c r="L47" s="59"/>
      <c r="M47" s="59"/>
      <c r="N47" s="99"/>
    </row>
    <row r="48" spans="2:14" x14ac:dyDescent="0.25">
      <c r="B48" s="16"/>
      <c r="C48" s="53"/>
      <c r="D48" s="61">
        <f t="shared" si="2"/>
        <v>-25</v>
      </c>
      <c r="E48" s="62" t="e">
        <f>VLOOKUP(D48,#REF!,3,TRUE)</f>
        <v>#REF!</v>
      </c>
      <c r="F48" s="58"/>
      <c r="G48" s="58"/>
      <c r="H48" s="45"/>
      <c r="I48" s="58"/>
      <c r="J48" s="58"/>
      <c r="K48" s="45"/>
      <c r="L48" s="59"/>
      <c r="M48" s="59"/>
      <c r="N48" s="99"/>
    </row>
    <row r="49" spans="2:14" x14ac:dyDescent="0.25">
      <c r="B49" s="16"/>
      <c r="C49" s="53"/>
      <c r="D49" s="61">
        <f t="shared" si="2"/>
        <v>-25</v>
      </c>
      <c r="E49" s="62" t="e">
        <f>VLOOKUP(D49,#REF!,3,TRUE)</f>
        <v>#REF!</v>
      </c>
      <c r="F49" s="58"/>
      <c r="G49" s="58"/>
      <c r="H49" s="45"/>
      <c r="I49" s="58"/>
      <c r="J49" s="58"/>
      <c r="K49" s="45"/>
      <c r="L49" s="59"/>
      <c r="M49" s="59"/>
      <c r="N49" s="99"/>
    </row>
    <row r="50" spans="2:14" x14ac:dyDescent="0.25">
      <c r="B50" s="16"/>
      <c r="C50" s="53"/>
      <c r="D50" s="61">
        <f t="shared" si="2"/>
        <v>-25</v>
      </c>
      <c r="E50" s="62" t="e">
        <f>VLOOKUP(D50,#REF!,3,TRUE)</f>
        <v>#REF!</v>
      </c>
      <c r="F50" s="58"/>
      <c r="G50" s="58"/>
      <c r="H50" s="45"/>
      <c r="I50" s="58"/>
      <c r="J50" s="58"/>
      <c r="K50" s="45"/>
      <c r="L50" s="59"/>
      <c r="M50" s="59"/>
      <c r="N50" s="99"/>
    </row>
    <row r="51" spans="2:14" x14ac:dyDescent="0.25">
      <c r="B51" s="16"/>
      <c r="C51" s="53"/>
      <c r="D51" s="61">
        <f t="shared" si="2"/>
        <v>-25</v>
      </c>
      <c r="E51" s="62" t="e">
        <f>VLOOKUP(D51,#REF!,3,TRUE)</f>
        <v>#REF!</v>
      </c>
      <c r="F51" s="58"/>
      <c r="G51" s="58"/>
      <c r="H51" s="45"/>
      <c r="I51" s="58"/>
      <c r="J51" s="58"/>
      <c r="K51" s="45"/>
      <c r="L51" s="59"/>
      <c r="M51" s="59"/>
      <c r="N51" s="99"/>
    </row>
    <row r="52" spans="2:14" x14ac:dyDescent="0.25">
      <c r="B52" s="16"/>
      <c r="C52" s="53"/>
      <c r="D52" s="61">
        <f t="shared" si="2"/>
        <v>-25</v>
      </c>
      <c r="E52" s="62" t="e">
        <f>VLOOKUP(D52,#REF!,3,TRUE)</f>
        <v>#REF!</v>
      </c>
      <c r="F52" s="58"/>
      <c r="G52" s="58"/>
      <c r="H52" s="45"/>
      <c r="I52" s="58"/>
      <c r="J52" s="58"/>
      <c r="K52" s="45"/>
      <c r="L52" s="59"/>
      <c r="M52" s="59"/>
      <c r="N52" s="99"/>
    </row>
    <row r="53" spans="2:14" x14ac:dyDescent="0.25">
      <c r="B53" s="16"/>
      <c r="C53" s="53"/>
      <c r="D53" s="61">
        <f t="shared" si="2"/>
        <v>-25</v>
      </c>
      <c r="E53" s="62" t="e">
        <f>VLOOKUP(D53,#REF!,3,TRUE)</f>
        <v>#REF!</v>
      </c>
      <c r="F53" s="58"/>
      <c r="G53" s="58"/>
      <c r="H53" s="45"/>
      <c r="I53" s="58"/>
      <c r="J53" s="58"/>
      <c r="K53" s="45"/>
      <c r="L53" s="59"/>
      <c r="M53" s="59"/>
      <c r="N53" s="99"/>
    </row>
    <row r="54" spans="2:14" x14ac:dyDescent="0.25">
      <c r="B54" s="16"/>
      <c r="C54" s="53"/>
      <c r="D54" s="61">
        <f t="shared" si="2"/>
        <v>-25</v>
      </c>
      <c r="E54" s="62" t="e">
        <f>VLOOKUP(D54,#REF!,3,TRUE)</f>
        <v>#REF!</v>
      </c>
      <c r="F54" s="58"/>
      <c r="G54" s="58"/>
      <c r="H54" s="45"/>
      <c r="I54" s="58"/>
      <c r="J54" s="58"/>
      <c r="K54" s="45"/>
      <c r="L54" s="59"/>
      <c r="M54" s="59"/>
      <c r="N54" s="99"/>
    </row>
    <row r="55" spans="2:14" x14ac:dyDescent="0.25">
      <c r="B55" s="16"/>
      <c r="C55" s="53"/>
      <c r="D55" s="61">
        <f t="shared" si="2"/>
        <v>-25</v>
      </c>
      <c r="E55" s="62" t="e">
        <f>VLOOKUP(D55,#REF!,3,TRUE)</f>
        <v>#REF!</v>
      </c>
      <c r="F55" s="58"/>
      <c r="G55" s="58"/>
      <c r="H55" s="45"/>
      <c r="I55" s="58"/>
      <c r="J55" s="58"/>
      <c r="K55" s="45"/>
      <c r="L55" s="59"/>
      <c r="M55" s="59"/>
      <c r="N55" s="99"/>
    </row>
    <row r="56" spans="2:14" x14ac:dyDescent="0.25">
      <c r="B56" s="16"/>
      <c r="C56" s="53"/>
      <c r="D56" s="61">
        <f t="shared" si="2"/>
        <v>-25</v>
      </c>
      <c r="E56" s="62" t="e">
        <f>VLOOKUP(D56,#REF!,3,TRUE)</f>
        <v>#REF!</v>
      </c>
      <c r="F56" s="58"/>
      <c r="G56" s="58"/>
      <c r="H56" s="45"/>
      <c r="I56" s="58"/>
      <c r="J56" s="58"/>
      <c r="K56" s="45"/>
      <c r="L56" s="59"/>
      <c r="M56" s="59"/>
      <c r="N56" s="99"/>
    </row>
    <row r="57" spans="2:14" x14ac:dyDescent="0.25">
      <c r="B57" s="16"/>
      <c r="C57" s="53"/>
      <c r="D57" s="61">
        <f t="shared" si="2"/>
        <v>-25</v>
      </c>
      <c r="E57" s="62" t="e">
        <f>VLOOKUP(D57,#REF!,3,TRUE)</f>
        <v>#REF!</v>
      </c>
      <c r="F57" s="58"/>
      <c r="G57" s="58"/>
      <c r="H57" s="45"/>
      <c r="I57" s="58"/>
      <c r="J57" s="58"/>
      <c r="K57" s="45"/>
      <c r="L57" s="59"/>
      <c r="M57" s="59"/>
      <c r="N57" s="99"/>
    </row>
    <row r="58" spans="2:14" x14ac:dyDescent="0.25">
      <c r="B58" s="16"/>
      <c r="C58" s="53"/>
      <c r="D58" s="61">
        <f t="shared" si="2"/>
        <v>-25</v>
      </c>
      <c r="E58" s="62" t="e">
        <f>VLOOKUP(D58,#REF!,3,TRUE)</f>
        <v>#REF!</v>
      </c>
      <c r="F58" s="58"/>
      <c r="G58" s="58"/>
      <c r="H58" s="45"/>
      <c r="I58" s="58"/>
      <c r="J58" s="58"/>
      <c r="K58" s="45"/>
      <c r="L58" s="59"/>
      <c r="M58" s="59"/>
      <c r="N58" s="99"/>
    </row>
    <row r="59" spans="2:14" x14ac:dyDescent="0.25">
      <c r="B59" s="16"/>
      <c r="C59" s="53"/>
      <c r="D59" s="61">
        <f t="shared" si="2"/>
        <v>-25</v>
      </c>
      <c r="E59" s="62" t="e">
        <f>VLOOKUP(D59,#REF!,3,TRUE)</f>
        <v>#REF!</v>
      </c>
      <c r="F59" s="58"/>
      <c r="G59" s="58"/>
      <c r="H59" s="45"/>
      <c r="I59" s="58"/>
      <c r="J59" s="58"/>
      <c r="K59" s="45"/>
      <c r="L59" s="59"/>
      <c r="M59" s="59"/>
      <c r="N59" s="99"/>
    </row>
    <row r="60" spans="2:14" x14ac:dyDescent="0.25">
      <c r="B60" s="16"/>
      <c r="C60" s="53"/>
      <c r="D60" s="61">
        <f t="shared" si="2"/>
        <v>-25</v>
      </c>
      <c r="E60" s="62" t="e">
        <f>VLOOKUP(D60,#REF!,3,TRUE)</f>
        <v>#REF!</v>
      </c>
      <c r="F60" s="58"/>
      <c r="G60" s="58"/>
      <c r="H60" s="45"/>
      <c r="I60" s="58"/>
      <c r="J60" s="58"/>
      <c r="K60" s="45"/>
      <c r="L60" s="59"/>
      <c r="M60" s="59"/>
      <c r="N60" s="99"/>
    </row>
    <row r="61" spans="2:14" ht="15.75" x14ac:dyDescent="0.25">
      <c r="B61" s="78"/>
      <c r="C61" s="80"/>
      <c r="D61" s="58">
        <f t="shared" si="2"/>
        <v>-25</v>
      </c>
      <c r="E61" s="62" t="e">
        <f>VLOOKUP(D61,#REF!,3,TRUE)</f>
        <v>#REF!</v>
      </c>
      <c r="F61" s="58"/>
      <c r="G61" s="58"/>
      <c r="H61" s="58"/>
      <c r="I61" s="58"/>
      <c r="J61" s="58"/>
      <c r="K61" s="58"/>
      <c r="L61" s="59"/>
      <c r="M61" s="59"/>
      <c r="N61" s="99"/>
    </row>
  </sheetData>
  <autoFilter ref="A1:M7" xr:uid="{00000000-0009-0000-0000-000006000000}"/>
  <mergeCells count="1">
    <mergeCell ref="F6:K6"/>
  </mergeCells>
  <conditionalFormatting sqref="E8:E61">
    <cfRule type="cellIs" dxfId="9" priority="15" operator="equal">
      <formula>#REF!</formula>
    </cfRule>
    <cfRule type="cellIs" dxfId="8" priority="16" operator="equal">
      <formula>#REF!</formula>
    </cfRule>
    <cfRule type="cellIs" dxfId="7" priority="17" operator="equal">
      <formula>#REF!</formula>
    </cfRule>
    <cfRule type="cellIs" dxfId="6" priority="18" operator="equal">
      <formula>#REF!</formula>
    </cfRule>
    <cfRule type="cellIs" dxfId="5" priority="19" operator="equal">
      <formula>#REF!</formula>
    </cfRule>
    <cfRule type="cellIs" dxfId="4" priority="20" operator="equal">
      <formula>#REF!</formula>
    </cfRule>
    <cfRule type="cellIs" dxfId="3" priority="24" operator="equal">
      <formula>#REF!</formula>
    </cfRule>
  </conditionalFormatting>
  <pageMargins left="0.7" right="0.7" top="0.75" bottom="0.75" header="0.3" footer="0.3"/>
  <pageSetup orientation="landscape" r:id="rId1"/>
  <ignoredErrors>
    <ignoredError sqref="K8:K9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B67CC5DF-3EA1-4B56-B229-01CE4C4BFCFF}">
            <xm:f>NOT(ISERROR(SEARCH(#REF!,E9)))</xm:f>
            <xm:f>#REF!</xm:f>
            <x14:dxf>
              <fill>
                <patternFill>
                  <bgColor rgb="FFFFC000"/>
                </patternFill>
              </fill>
            </x14:dxf>
          </x14:cfRule>
          <x14:cfRule type="containsText" priority="22" operator="containsText" id="{A20AF0C8-CAD0-45DD-9FB1-B890A3602AA9}">
            <xm:f>NOT(ISERROR(SEARCH(#REF!,E9)))</xm:f>
            <xm:f>#REF!</xm:f>
            <x14:dxf>
              <fill>
                <patternFill>
                  <bgColor rgb="FF92D050"/>
                </patternFill>
              </fill>
            </x14:dxf>
          </x14:cfRule>
          <xm:sqref>E9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23"/>
  <sheetViews>
    <sheetView showGridLines="0" zoomScale="75" zoomScaleNormal="75" workbookViewId="0">
      <pane ySplit="4" topLeftCell="A5" activePane="bottomLeft" state="frozen"/>
      <selection activeCell="C6" sqref="C6"/>
      <selection pane="bottomLeft" activeCell="L17" sqref="L17"/>
    </sheetView>
  </sheetViews>
  <sheetFormatPr defaultRowHeight="15" x14ac:dyDescent="0.25"/>
  <cols>
    <col min="1" max="1" width="1.5703125" style="12" customWidth="1"/>
    <col min="2" max="2" width="4" customWidth="1"/>
    <col min="3" max="3" width="4.28515625" customWidth="1"/>
    <col min="4" max="4" width="12.7109375" customWidth="1"/>
    <col min="5" max="5" width="17.5703125" customWidth="1"/>
    <col min="6" max="6" width="18.42578125" customWidth="1"/>
    <col min="7" max="9" width="17.5703125" customWidth="1"/>
    <col min="10" max="10" width="4.42578125" customWidth="1"/>
    <col min="11" max="11" width="28.5703125" customWidth="1"/>
  </cols>
  <sheetData>
    <row r="1" spans="2:10" s="15" customFormat="1" ht="5.25" customHeight="1" x14ac:dyDescent="0.25"/>
    <row r="2" spans="2:10" s="15" customFormat="1" x14ac:dyDescent="0.25">
      <c r="B2" s="10" t="e">
        <f>#REF!</f>
        <v>#REF!</v>
      </c>
    </row>
    <row r="3" spans="2:10" s="15" customFormat="1" x14ac:dyDescent="0.25">
      <c r="B3" s="10" t="s">
        <v>194</v>
      </c>
    </row>
    <row r="4" spans="2:10" s="15" customFormat="1" ht="12.75" x14ac:dyDescent="0.25">
      <c r="B4" s="18" t="e">
        <f>CONCATENATE(UPPER(LEFT(RIGHT(#REF!,LEN(#REF!)-FIND(" ",#REF!)),1)),RIGHT(#REF!,LEN(RIGHT(#REF!,LEN(#REF!)-FIND(" ",#REF!)))-1))</f>
        <v>#REF!</v>
      </c>
    </row>
    <row r="5" spans="2:10" s="15" customFormat="1" ht="13.5" thickBot="1" x14ac:dyDescent="0.3"/>
    <row r="6" spans="2:10" x14ac:dyDescent="0.25">
      <c r="B6" s="27"/>
      <c r="C6" s="28"/>
      <c r="D6" s="28"/>
      <c r="E6" s="28"/>
      <c r="F6" s="28"/>
      <c r="G6" s="28"/>
      <c r="H6" s="28"/>
      <c r="I6" s="28"/>
      <c r="J6" s="29"/>
    </row>
    <row r="7" spans="2:10" ht="63.75" customHeight="1" x14ac:dyDescent="0.25">
      <c r="B7" s="30"/>
      <c r="C7" s="126" t="s">
        <v>375</v>
      </c>
      <c r="D7" s="127"/>
      <c r="E7" s="127"/>
      <c r="F7" s="127"/>
      <c r="G7" s="127"/>
      <c r="H7" s="127"/>
      <c r="I7" s="128"/>
      <c r="J7" s="31"/>
    </row>
    <row r="8" spans="2:10" x14ac:dyDescent="0.25">
      <c r="B8" s="30"/>
      <c r="C8" s="32"/>
      <c r="D8" s="32"/>
      <c r="E8" s="32"/>
      <c r="F8" s="32"/>
      <c r="G8" s="32"/>
      <c r="H8" s="32"/>
      <c r="I8" s="32"/>
      <c r="J8" s="31"/>
    </row>
    <row r="9" spans="2:10" x14ac:dyDescent="0.25">
      <c r="B9" s="30"/>
      <c r="C9" s="118" t="s">
        <v>95</v>
      </c>
      <c r="D9" s="23" t="s">
        <v>279</v>
      </c>
      <c r="E9" s="119" t="s">
        <v>98</v>
      </c>
      <c r="F9" s="123" t="s">
        <v>96</v>
      </c>
      <c r="G9" s="121" t="s">
        <v>100</v>
      </c>
      <c r="H9" s="122" t="s">
        <v>2</v>
      </c>
      <c r="I9" s="129" t="s">
        <v>374</v>
      </c>
      <c r="J9" s="31"/>
    </row>
    <row r="10" spans="2:10" x14ac:dyDescent="0.25">
      <c r="B10" s="30"/>
      <c r="C10" s="118"/>
      <c r="D10" s="24">
        <v>5</v>
      </c>
      <c r="E10" s="120"/>
      <c r="F10" s="123"/>
      <c r="G10" s="121"/>
      <c r="H10" s="122"/>
      <c r="I10" s="129"/>
      <c r="J10" s="31"/>
    </row>
    <row r="11" spans="2:10" ht="30" customHeight="1" x14ac:dyDescent="0.25">
      <c r="B11" s="30"/>
      <c r="C11" s="118"/>
      <c r="D11" s="23" t="s">
        <v>99</v>
      </c>
      <c r="E11" s="119" t="s">
        <v>98</v>
      </c>
      <c r="F11" s="123" t="s">
        <v>96</v>
      </c>
      <c r="G11" s="121" t="s">
        <v>100</v>
      </c>
      <c r="H11" s="122" t="s">
        <v>2</v>
      </c>
      <c r="I11" s="129" t="s">
        <v>374</v>
      </c>
      <c r="J11" s="31"/>
    </row>
    <row r="12" spans="2:10" x14ac:dyDescent="0.25">
      <c r="B12" s="30"/>
      <c r="C12" s="118"/>
      <c r="D12" s="24">
        <v>4</v>
      </c>
      <c r="E12" s="120"/>
      <c r="F12" s="123"/>
      <c r="G12" s="121"/>
      <c r="H12" s="122"/>
      <c r="I12" s="129"/>
      <c r="J12" s="31"/>
    </row>
    <row r="13" spans="2:10" ht="30" customHeight="1" x14ac:dyDescent="0.25">
      <c r="B13" s="30"/>
      <c r="C13" s="118"/>
      <c r="D13" s="23" t="s">
        <v>2</v>
      </c>
      <c r="E13" s="119" t="s">
        <v>98</v>
      </c>
      <c r="F13" s="123" t="s">
        <v>96</v>
      </c>
      <c r="G13" s="121" t="s">
        <v>100</v>
      </c>
      <c r="H13" s="121" t="s">
        <v>100</v>
      </c>
      <c r="I13" s="122" t="s">
        <v>2</v>
      </c>
      <c r="J13" s="31"/>
    </row>
    <row r="14" spans="2:10" ht="15.75" customHeight="1" x14ac:dyDescent="0.25">
      <c r="B14" s="30"/>
      <c r="C14" s="118"/>
      <c r="D14" s="24">
        <v>3</v>
      </c>
      <c r="E14" s="120"/>
      <c r="F14" s="123"/>
      <c r="G14" s="121"/>
      <c r="H14" s="121"/>
      <c r="I14" s="122"/>
      <c r="J14" s="31"/>
    </row>
    <row r="15" spans="2:10" ht="30" customHeight="1" x14ac:dyDescent="0.25">
      <c r="B15" s="30"/>
      <c r="C15" s="118"/>
      <c r="D15" s="23" t="s">
        <v>100</v>
      </c>
      <c r="E15" s="119" t="s">
        <v>98</v>
      </c>
      <c r="F15" s="123" t="s">
        <v>96</v>
      </c>
      <c r="G15" s="123" t="s">
        <v>96</v>
      </c>
      <c r="H15" s="123" t="s">
        <v>96</v>
      </c>
      <c r="I15" s="121" t="s">
        <v>100</v>
      </c>
      <c r="J15" s="31"/>
    </row>
    <row r="16" spans="2:10" x14ac:dyDescent="0.25">
      <c r="B16" s="30"/>
      <c r="C16" s="118"/>
      <c r="D16" s="24">
        <v>2</v>
      </c>
      <c r="E16" s="120"/>
      <c r="F16" s="123"/>
      <c r="G16" s="123"/>
      <c r="H16" s="123"/>
      <c r="I16" s="121"/>
      <c r="J16" s="31"/>
    </row>
    <row r="17" spans="2:10" ht="30" customHeight="1" x14ac:dyDescent="0.25">
      <c r="B17" s="30"/>
      <c r="C17" s="118"/>
      <c r="D17" s="23" t="s">
        <v>96</v>
      </c>
      <c r="E17" s="119" t="s">
        <v>98</v>
      </c>
      <c r="F17" s="119" t="s">
        <v>98</v>
      </c>
      <c r="G17" s="119" t="s">
        <v>98</v>
      </c>
      <c r="H17" s="124" t="s">
        <v>96</v>
      </c>
      <c r="I17" s="123" t="s">
        <v>96</v>
      </c>
      <c r="J17" s="31"/>
    </row>
    <row r="18" spans="2:10" x14ac:dyDescent="0.25">
      <c r="B18" s="30"/>
      <c r="C18" s="118"/>
      <c r="D18" s="24">
        <v>1</v>
      </c>
      <c r="E18" s="120"/>
      <c r="F18" s="120"/>
      <c r="G18" s="120"/>
      <c r="H18" s="125"/>
      <c r="I18" s="123"/>
      <c r="J18" s="31"/>
    </row>
    <row r="19" spans="2:10" x14ac:dyDescent="0.25">
      <c r="B19" s="30"/>
      <c r="C19" s="130"/>
      <c r="D19" s="130"/>
      <c r="E19" s="25" t="s">
        <v>376</v>
      </c>
      <c r="F19" s="25" t="s">
        <v>377</v>
      </c>
      <c r="G19" s="25" t="s">
        <v>378</v>
      </c>
      <c r="H19" s="25" t="s">
        <v>278</v>
      </c>
      <c r="I19" s="25" t="s">
        <v>101</v>
      </c>
      <c r="J19" s="31"/>
    </row>
    <row r="20" spans="2:10" x14ac:dyDescent="0.25">
      <c r="B20" s="30"/>
      <c r="C20" s="130"/>
      <c r="D20" s="130"/>
      <c r="E20" s="26">
        <v>1</v>
      </c>
      <c r="F20" s="26">
        <v>2</v>
      </c>
      <c r="G20" s="26">
        <v>3</v>
      </c>
      <c r="H20" s="26">
        <v>4</v>
      </c>
      <c r="I20" s="26">
        <v>5</v>
      </c>
      <c r="J20" s="31"/>
    </row>
    <row r="21" spans="2:10" ht="21" customHeight="1" x14ac:dyDescent="0.25">
      <c r="B21" s="30"/>
      <c r="C21" s="130"/>
      <c r="D21" s="130"/>
      <c r="E21" s="131" t="s">
        <v>97</v>
      </c>
      <c r="F21" s="131"/>
      <c r="G21" s="131"/>
      <c r="H21" s="131"/>
      <c r="I21" s="131"/>
      <c r="J21" s="31"/>
    </row>
    <row r="22" spans="2:10" ht="15.75" thickBot="1" x14ac:dyDescent="0.3">
      <c r="B22" s="33"/>
      <c r="C22" s="34"/>
      <c r="D22" s="35"/>
      <c r="E22" s="35"/>
      <c r="F22" s="35"/>
      <c r="G22" s="36"/>
      <c r="H22" s="36"/>
      <c r="I22" s="36"/>
      <c r="J22" s="37"/>
    </row>
    <row r="23" spans="2:10" ht="4.5" customHeight="1" x14ac:dyDescent="0.25"/>
  </sheetData>
  <mergeCells count="29">
    <mergeCell ref="C19:D21"/>
    <mergeCell ref="E21:I21"/>
    <mergeCell ref="C7:I7"/>
    <mergeCell ref="F13:F14"/>
    <mergeCell ref="G13:G14"/>
    <mergeCell ref="H9:H10"/>
    <mergeCell ref="I9:I10"/>
    <mergeCell ref="E11:E12"/>
    <mergeCell ref="F11:F12"/>
    <mergeCell ref="G11:G12"/>
    <mergeCell ref="H11:H12"/>
    <mergeCell ref="I11:I12"/>
    <mergeCell ref="E9:E10"/>
    <mergeCell ref="F9:F10"/>
    <mergeCell ref="G9:G10"/>
    <mergeCell ref="C9:C18"/>
    <mergeCell ref="E17:E18"/>
    <mergeCell ref="H13:H14"/>
    <mergeCell ref="I13:I14"/>
    <mergeCell ref="E15:E16"/>
    <mergeCell ref="F15:F16"/>
    <mergeCell ref="G15:G16"/>
    <mergeCell ref="H15:H16"/>
    <mergeCell ref="I15:I16"/>
    <mergeCell ref="E13:E14"/>
    <mergeCell ref="F17:F18"/>
    <mergeCell ref="G17:G18"/>
    <mergeCell ref="H17:H18"/>
    <mergeCell ref="I17:I18"/>
  </mergeCells>
  <hyperlinks>
    <hyperlink ref="C9:C18" location="'Risk Identification'!D25" display="Impact" xr:uid="{00000000-0004-0000-0700-000000000000}"/>
    <hyperlink ref="E21:I21" location="'Risk Identification'!D40" display="Likelihood" xr:uid="{00000000-0004-0000-0700-000001000000}"/>
  </hyperlinks>
  <pageMargins left="0.7" right="0.7" top="0.75" bottom="0.75" header="0.3" footer="0.3"/>
  <pageSetup orientation="landscape" horizontalDpi="300" verticalDpi="0" copies="0" r:id="rId1"/>
  <rowBreaks count="1" manualBreakCount="1">
    <brk id="22" max="16383" man="1"/>
  </rowBreaks>
  <colBreaks count="1" manualBreakCount="1">
    <brk id="10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5"/>
  <sheetViews>
    <sheetView tabSelected="1" zoomScale="112" zoomScaleNormal="112" workbookViewId="0">
      <selection activeCell="K13" sqref="K13"/>
    </sheetView>
  </sheetViews>
  <sheetFormatPr defaultRowHeight="15" x14ac:dyDescent="0.25"/>
  <cols>
    <col min="1" max="1" width="25.85546875" style="94" customWidth="1"/>
    <col min="2" max="2" width="30.5703125" style="94" customWidth="1"/>
  </cols>
  <sheetData>
    <row r="1" spans="1:4" x14ac:dyDescent="0.25">
      <c r="A1" s="91"/>
      <c r="B1" s="90"/>
    </row>
    <row r="2" spans="1:4" x14ac:dyDescent="0.25">
      <c r="A2" s="92" t="s">
        <v>188</v>
      </c>
      <c r="B2" s="76" t="s">
        <v>68</v>
      </c>
      <c r="C2" s="96" t="s">
        <v>394</v>
      </c>
      <c r="D2" s="96" t="s">
        <v>97</v>
      </c>
    </row>
    <row r="3" spans="1:4" ht="60" x14ac:dyDescent="0.25">
      <c r="A3" s="93" t="s">
        <v>195</v>
      </c>
      <c r="B3" s="95" t="s">
        <v>391</v>
      </c>
      <c r="C3" s="97">
        <v>4</v>
      </c>
      <c r="D3" s="97">
        <v>4</v>
      </c>
    </row>
    <row r="4" spans="1:4" ht="60" x14ac:dyDescent="0.25">
      <c r="A4" s="93" t="s">
        <v>196</v>
      </c>
      <c r="B4" s="95" t="s">
        <v>392</v>
      </c>
      <c r="C4" s="97">
        <v>4</v>
      </c>
      <c r="D4" s="97">
        <v>3.5</v>
      </c>
    </row>
    <row r="5" spans="1:4" ht="60" x14ac:dyDescent="0.25">
      <c r="A5" s="93" t="s">
        <v>197</v>
      </c>
      <c r="B5" s="95" t="s">
        <v>393</v>
      </c>
      <c r="C5" s="97">
        <v>4</v>
      </c>
      <c r="D5" s="97">
        <v>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>
    <tabColor rgb="FFFFFF00"/>
  </sheetPr>
  <dimension ref="A2:F105"/>
  <sheetViews>
    <sheetView showGridLines="0" workbookViewId="0">
      <selection activeCell="F20" sqref="F20"/>
    </sheetView>
  </sheetViews>
  <sheetFormatPr defaultRowHeight="15" x14ac:dyDescent="0.25"/>
  <cols>
    <col min="1" max="1" width="3.42578125" style="12" customWidth="1"/>
    <col min="2" max="2" width="33.85546875" customWidth="1"/>
    <col min="3" max="3" width="12.5703125" customWidth="1"/>
    <col min="5" max="5" width="33.28515625" customWidth="1"/>
    <col min="6" max="6" width="18.28515625" customWidth="1"/>
    <col min="8" max="8" width="20.85546875" bestFit="1" customWidth="1"/>
  </cols>
  <sheetData>
    <row r="2" spans="2:6" x14ac:dyDescent="0.25">
      <c r="B2" s="42" t="s">
        <v>280</v>
      </c>
      <c r="E2" s="42" t="s">
        <v>281</v>
      </c>
      <c r="F2" s="12"/>
    </row>
    <row r="3" spans="2:6" x14ac:dyDescent="0.25">
      <c r="B3" s="40" t="s">
        <v>265</v>
      </c>
      <c r="C3" s="46" t="s">
        <v>266</v>
      </c>
      <c r="E3" s="40" t="s">
        <v>263</v>
      </c>
      <c r="F3" t="s">
        <v>284</v>
      </c>
    </row>
    <row r="4" spans="2:6" x14ac:dyDescent="0.25">
      <c r="B4" s="39">
        <v>7</v>
      </c>
      <c r="C4" s="41">
        <v>1</v>
      </c>
      <c r="E4" s="39" t="s">
        <v>261</v>
      </c>
      <c r="F4" s="41">
        <v>48</v>
      </c>
    </row>
    <row r="5" spans="2:6" x14ac:dyDescent="0.25">
      <c r="B5" s="39">
        <v>5</v>
      </c>
      <c r="C5" s="41">
        <v>3</v>
      </c>
      <c r="E5" s="39" t="s">
        <v>31</v>
      </c>
      <c r="F5" s="41">
        <v>33</v>
      </c>
    </row>
    <row r="6" spans="2:6" x14ac:dyDescent="0.25">
      <c r="B6" s="39">
        <v>4</v>
      </c>
      <c r="C6" s="41">
        <v>4</v>
      </c>
      <c r="E6" s="39" t="s">
        <v>203</v>
      </c>
      <c r="F6" s="41">
        <v>6</v>
      </c>
    </row>
    <row r="7" spans="2:6" x14ac:dyDescent="0.25">
      <c r="B7" s="39">
        <v>3</v>
      </c>
      <c r="C7" s="41">
        <v>4</v>
      </c>
      <c r="E7" s="39" t="s">
        <v>260</v>
      </c>
      <c r="F7" s="41">
        <v>4</v>
      </c>
    </row>
    <row r="8" spans="2:6" x14ac:dyDescent="0.25">
      <c r="B8" s="39">
        <v>2</v>
      </c>
      <c r="C8" s="41">
        <v>9</v>
      </c>
      <c r="E8" s="39" t="s">
        <v>257</v>
      </c>
      <c r="F8" s="41">
        <v>0</v>
      </c>
    </row>
    <row r="9" spans="2:6" x14ac:dyDescent="0.25">
      <c r="B9" s="39">
        <v>1</v>
      </c>
      <c r="C9" s="41">
        <v>23</v>
      </c>
      <c r="E9" s="39" t="s">
        <v>264</v>
      </c>
      <c r="F9" s="41">
        <v>91</v>
      </c>
    </row>
    <row r="10" spans="2:6" x14ac:dyDescent="0.25">
      <c r="B10" s="39">
        <v>0</v>
      </c>
      <c r="C10" s="41">
        <v>27</v>
      </c>
    </row>
    <row r="11" spans="2:6" x14ac:dyDescent="0.25">
      <c r="B11" s="39" t="s">
        <v>264</v>
      </c>
      <c r="C11" s="41">
        <v>71</v>
      </c>
    </row>
    <row r="12" spans="2:6" s="12" customFormat="1" x14ac:dyDescent="0.25">
      <c r="B12"/>
      <c r="C12"/>
      <c r="E12" s="42" t="s">
        <v>282</v>
      </c>
    </row>
    <row r="13" spans="2:6" x14ac:dyDescent="0.25">
      <c r="E13" s="40" t="s">
        <v>262</v>
      </c>
      <c r="F13" t="s">
        <v>284</v>
      </c>
    </row>
    <row r="14" spans="2:6" x14ac:dyDescent="0.25">
      <c r="E14" s="39" t="s">
        <v>6</v>
      </c>
      <c r="F14" s="41">
        <v>22</v>
      </c>
    </row>
    <row r="15" spans="2:6" x14ac:dyDescent="0.25">
      <c r="E15" s="39" t="s">
        <v>25</v>
      </c>
      <c r="F15" s="41">
        <v>13</v>
      </c>
    </row>
    <row r="16" spans="2:6" x14ac:dyDescent="0.25">
      <c r="E16" s="39" t="s">
        <v>40</v>
      </c>
      <c r="F16" s="41">
        <v>12</v>
      </c>
    </row>
    <row r="17" spans="2:6" x14ac:dyDescent="0.25">
      <c r="E17" s="39" t="s">
        <v>53</v>
      </c>
      <c r="F17" s="41">
        <v>7</v>
      </c>
    </row>
    <row r="18" spans="2:6" x14ac:dyDescent="0.25">
      <c r="E18" s="39" t="s">
        <v>47</v>
      </c>
      <c r="F18" s="41">
        <v>6</v>
      </c>
    </row>
    <row r="19" spans="2:6" x14ac:dyDescent="0.25">
      <c r="E19" s="39" t="s">
        <v>44</v>
      </c>
      <c r="F19" s="41">
        <v>6</v>
      </c>
    </row>
    <row r="20" spans="2:6" x14ac:dyDescent="0.25">
      <c r="E20" s="39" t="s">
        <v>0</v>
      </c>
      <c r="F20" s="41">
        <v>6</v>
      </c>
    </row>
    <row r="21" spans="2:6" x14ac:dyDescent="0.25">
      <c r="E21" s="39" t="s">
        <v>21</v>
      </c>
      <c r="F21" s="41">
        <v>5</v>
      </c>
    </row>
    <row r="22" spans="2:6" s="12" customFormat="1" x14ac:dyDescent="0.25">
      <c r="B22"/>
      <c r="C22"/>
      <c r="E22" s="39" t="s">
        <v>82</v>
      </c>
      <c r="F22" s="41">
        <v>4</v>
      </c>
    </row>
    <row r="23" spans="2:6" x14ac:dyDescent="0.25">
      <c r="E23" s="39" t="s">
        <v>37</v>
      </c>
      <c r="F23" s="41">
        <v>4</v>
      </c>
    </row>
    <row r="24" spans="2:6" x14ac:dyDescent="0.25">
      <c r="E24" s="39" t="s">
        <v>32</v>
      </c>
      <c r="F24" s="41">
        <v>3</v>
      </c>
    </row>
    <row r="25" spans="2:6" x14ac:dyDescent="0.25">
      <c r="E25" s="39" t="s">
        <v>79</v>
      </c>
      <c r="F25" s="41">
        <v>1</v>
      </c>
    </row>
    <row r="26" spans="2:6" x14ac:dyDescent="0.25">
      <c r="E26" s="39" t="s">
        <v>89</v>
      </c>
      <c r="F26" s="41">
        <v>1</v>
      </c>
    </row>
    <row r="27" spans="2:6" x14ac:dyDescent="0.25">
      <c r="E27" s="39" t="s">
        <v>60</v>
      </c>
      <c r="F27" s="41">
        <v>1</v>
      </c>
    </row>
    <row r="28" spans="2:6" x14ac:dyDescent="0.25">
      <c r="E28" s="39" t="s">
        <v>69</v>
      </c>
      <c r="F28" s="41">
        <v>0</v>
      </c>
    </row>
    <row r="29" spans="2:6" x14ac:dyDescent="0.25">
      <c r="E29" s="39" t="s">
        <v>19</v>
      </c>
      <c r="F29" s="41">
        <v>0</v>
      </c>
    </row>
    <row r="30" spans="2:6" x14ac:dyDescent="0.25">
      <c r="E30" s="39" t="s">
        <v>35</v>
      </c>
      <c r="F30" s="41">
        <v>0</v>
      </c>
    </row>
    <row r="31" spans="2:6" x14ac:dyDescent="0.25">
      <c r="E31" s="39" t="s">
        <v>264</v>
      </c>
      <c r="F31" s="41">
        <v>91</v>
      </c>
    </row>
    <row r="33" spans="5:6" x14ac:dyDescent="0.25">
      <c r="E33" s="42" t="s">
        <v>283</v>
      </c>
      <c r="F33" s="12"/>
    </row>
    <row r="34" spans="5:6" x14ac:dyDescent="0.25">
      <c r="E34" s="40" t="s">
        <v>254</v>
      </c>
      <c r="F34" t="s">
        <v>284</v>
      </c>
    </row>
    <row r="35" spans="5:6" x14ac:dyDescent="0.25">
      <c r="E35" s="39" t="s">
        <v>43</v>
      </c>
      <c r="F35" s="41">
        <v>7</v>
      </c>
    </row>
    <row r="36" spans="5:6" x14ac:dyDescent="0.25">
      <c r="E36" s="39" t="s">
        <v>55</v>
      </c>
      <c r="F36" s="41">
        <v>5</v>
      </c>
    </row>
    <row r="37" spans="5:6" x14ac:dyDescent="0.25">
      <c r="E37" s="39" t="s">
        <v>5</v>
      </c>
      <c r="F37" s="41">
        <v>5</v>
      </c>
    </row>
    <row r="38" spans="5:6" x14ac:dyDescent="0.25">
      <c r="E38" s="39" t="s">
        <v>42</v>
      </c>
      <c r="F38" s="41">
        <v>5</v>
      </c>
    </row>
    <row r="39" spans="5:6" x14ac:dyDescent="0.25">
      <c r="E39" s="39" t="s">
        <v>14</v>
      </c>
      <c r="F39" s="41">
        <v>5</v>
      </c>
    </row>
    <row r="40" spans="5:6" x14ac:dyDescent="0.25">
      <c r="E40" s="39" t="s">
        <v>45</v>
      </c>
      <c r="F40" s="41">
        <v>4</v>
      </c>
    </row>
    <row r="41" spans="5:6" x14ac:dyDescent="0.25">
      <c r="E41" s="39" t="s">
        <v>15</v>
      </c>
      <c r="F41" s="41">
        <v>4</v>
      </c>
    </row>
    <row r="42" spans="5:6" x14ac:dyDescent="0.25">
      <c r="E42" s="39" t="s">
        <v>26</v>
      </c>
      <c r="F42" s="41">
        <v>4</v>
      </c>
    </row>
    <row r="43" spans="5:6" x14ac:dyDescent="0.25">
      <c r="E43" s="39" t="s">
        <v>30</v>
      </c>
      <c r="F43" s="41">
        <v>3</v>
      </c>
    </row>
    <row r="44" spans="5:6" x14ac:dyDescent="0.25">
      <c r="E44" s="39" t="s">
        <v>38</v>
      </c>
      <c r="F44" s="41">
        <v>3</v>
      </c>
    </row>
    <row r="45" spans="5:6" x14ac:dyDescent="0.25">
      <c r="E45" s="39" t="s">
        <v>28</v>
      </c>
      <c r="F45" s="41">
        <v>3</v>
      </c>
    </row>
    <row r="46" spans="5:6" x14ac:dyDescent="0.25">
      <c r="E46" s="39" t="s">
        <v>7</v>
      </c>
      <c r="F46" s="41">
        <v>3</v>
      </c>
    </row>
    <row r="47" spans="5:6" x14ac:dyDescent="0.25">
      <c r="E47" s="39" t="s">
        <v>86</v>
      </c>
      <c r="F47" s="41">
        <v>2</v>
      </c>
    </row>
    <row r="48" spans="5:6" x14ac:dyDescent="0.25">
      <c r="E48" s="39" t="s">
        <v>52</v>
      </c>
      <c r="F48" s="41">
        <v>2</v>
      </c>
    </row>
    <row r="49" spans="5:6" x14ac:dyDescent="0.25">
      <c r="E49" s="39" t="s">
        <v>48</v>
      </c>
      <c r="F49" s="41">
        <v>2</v>
      </c>
    </row>
    <row r="50" spans="5:6" x14ac:dyDescent="0.25">
      <c r="E50" s="39" t="s">
        <v>29</v>
      </c>
      <c r="F50" s="41">
        <v>2</v>
      </c>
    </row>
    <row r="51" spans="5:6" x14ac:dyDescent="0.25">
      <c r="E51" s="39" t="s">
        <v>23</v>
      </c>
      <c r="F51" s="41">
        <v>2</v>
      </c>
    </row>
    <row r="52" spans="5:6" x14ac:dyDescent="0.25">
      <c r="E52" s="39" t="s">
        <v>46</v>
      </c>
      <c r="F52" s="41">
        <v>2</v>
      </c>
    </row>
    <row r="53" spans="5:6" x14ac:dyDescent="0.25">
      <c r="E53" s="39" t="s">
        <v>12</v>
      </c>
      <c r="F53" s="41">
        <v>2</v>
      </c>
    </row>
    <row r="54" spans="5:6" x14ac:dyDescent="0.25">
      <c r="E54" s="39" t="s">
        <v>24</v>
      </c>
      <c r="F54" s="41">
        <v>2</v>
      </c>
    </row>
    <row r="55" spans="5:6" x14ac:dyDescent="0.25">
      <c r="E55" s="39" t="s">
        <v>34</v>
      </c>
      <c r="F55" s="41">
        <v>2</v>
      </c>
    </row>
    <row r="56" spans="5:6" x14ac:dyDescent="0.25">
      <c r="E56" s="39" t="s">
        <v>50</v>
      </c>
      <c r="F56" s="41">
        <v>1</v>
      </c>
    </row>
    <row r="57" spans="5:6" x14ac:dyDescent="0.25">
      <c r="E57" s="39" t="s">
        <v>27</v>
      </c>
      <c r="F57" s="41">
        <v>1</v>
      </c>
    </row>
    <row r="58" spans="5:6" x14ac:dyDescent="0.25">
      <c r="E58" s="39" t="s">
        <v>84</v>
      </c>
      <c r="F58" s="41">
        <v>1</v>
      </c>
    </row>
    <row r="59" spans="5:6" x14ac:dyDescent="0.25">
      <c r="E59" s="39" t="s">
        <v>259</v>
      </c>
      <c r="F59" s="41">
        <v>1</v>
      </c>
    </row>
    <row r="60" spans="5:6" x14ac:dyDescent="0.25">
      <c r="E60" s="39" t="s">
        <v>78</v>
      </c>
      <c r="F60" s="41">
        <v>1</v>
      </c>
    </row>
    <row r="61" spans="5:6" x14ac:dyDescent="0.25">
      <c r="E61" s="39" t="s">
        <v>56</v>
      </c>
      <c r="F61" s="41">
        <v>1</v>
      </c>
    </row>
    <row r="62" spans="5:6" x14ac:dyDescent="0.25">
      <c r="E62" s="39" t="s">
        <v>9</v>
      </c>
      <c r="F62" s="41">
        <v>1</v>
      </c>
    </row>
    <row r="63" spans="5:6" x14ac:dyDescent="0.25">
      <c r="E63" s="39" t="s">
        <v>10</v>
      </c>
      <c r="F63" s="41">
        <v>1</v>
      </c>
    </row>
    <row r="64" spans="5:6" x14ac:dyDescent="0.25">
      <c r="E64" s="39" t="s">
        <v>91</v>
      </c>
      <c r="F64" s="41">
        <v>1</v>
      </c>
    </row>
    <row r="65" spans="5:6" x14ac:dyDescent="0.25">
      <c r="E65" s="39" t="s">
        <v>85</v>
      </c>
      <c r="F65" s="41">
        <v>1</v>
      </c>
    </row>
    <row r="66" spans="5:6" x14ac:dyDescent="0.25">
      <c r="E66" s="39" t="s">
        <v>17</v>
      </c>
      <c r="F66" s="41">
        <v>1</v>
      </c>
    </row>
    <row r="67" spans="5:6" x14ac:dyDescent="0.25">
      <c r="E67" s="39" t="s">
        <v>41</v>
      </c>
      <c r="F67" s="41">
        <v>1</v>
      </c>
    </row>
    <row r="68" spans="5:6" x14ac:dyDescent="0.25">
      <c r="E68" s="39" t="s">
        <v>51</v>
      </c>
      <c r="F68" s="41">
        <v>1</v>
      </c>
    </row>
    <row r="69" spans="5:6" x14ac:dyDescent="0.25">
      <c r="E69" s="39" t="s">
        <v>62</v>
      </c>
      <c r="F69" s="41">
        <v>1</v>
      </c>
    </row>
    <row r="70" spans="5:6" x14ac:dyDescent="0.25">
      <c r="E70" s="39" t="s">
        <v>16</v>
      </c>
      <c r="F70" s="41">
        <v>1</v>
      </c>
    </row>
    <row r="71" spans="5:6" x14ac:dyDescent="0.25">
      <c r="E71" s="39" t="s">
        <v>33</v>
      </c>
      <c r="F71" s="41">
        <v>1</v>
      </c>
    </row>
    <row r="72" spans="5:6" x14ac:dyDescent="0.25">
      <c r="E72" s="39" t="s">
        <v>18</v>
      </c>
      <c r="F72" s="41">
        <v>1</v>
      </c>
    </row>
    <row r="73" spans="5:6" x14ac:dyDescent="0.25">
      <c r="E73" s="39" t="s">
        <v>59</v>
      </c>
      <c r="F73" s="41">
        <v>1</v>
      </c>
    </row>
    <row r="74" spans="5:6" x14ac:dyDescent="0.25">
      <c r="E74" s="39" t="s">
        <v>4</v>
      </c>
      <c r="F74" s="41">
        <v>1</v>
      </c>
    </row>
    <row r="75" spans="5:6" x14ac:dyDescent="0.25">
      <c r="E75" s="39" t="s">
        <v>39</v>
      </c>
      <c r="F75" s="41">
        <v>1</v>
      </c>
    </row>
    <row r="76" spans="5:6" x14ac:dyDescent="0.25">
      <c r="E76" s="39" t="s">
        <v>13</v>
      </c>
      <c r="F76" s="41">
        <v>1</v>
      </c>
    </row>
    <row r="77" spans="5:6" x14ac:dyDescent="0.25">
      <c r="E77" s="39" t="s">
        <v>22</v>
      </c>
      <c r="F77" s="41">
        <v>1</v>
      </c>
    </row>
    <row r="78" spans="5:6" x14ac:dyDescent="0.25">
      <c r="E78" s="39" t="s">
        <v>70</v>
      </c>
      <c r="F78" s="41">
        <v>0</v>
      </c>
    </row>
    <row r="79" spans="5:6" x14ac:dyDescent="0.25">
      <c r="E79" s="39" t="s">
        <v>92</v>
      </c>
      <c r="F79" s="41">
        <v>0</v>
      </c>
    </row>
    <row r="80" spans="5:6" x14ac:dyDescent="0.25">
      <c r="E80" s="39" t="s">
        <v>76</v>
      </c>
      <c r="F80" s="41">
        <v>0</v>
      </c>
    </row>
    <row r="81" spans="5:6" x14ac:dyDescent="0.25">
      <c r="E81" s="39" t="s">
        <v>58</v>
      </c>
      <c r="F81" s="41">
        <v>0</v>
      </c>
    </row>
    <row r="82" spans="5:6" x14ac:dyDescent="0.25">
      <c r="E82" s="39" t="s">
        <v>87</v>
      </c>
      <c r="F82" s="41">
        <v>0</v>
      </c>
    </row>
    <row r="83" spans="5:6" x14ac:dyDescent="0.25">
      <c r="E83" s="39" t="s">
        <v>258</v>
      </c>
      <c r="F83" s="41">
        <v>0</v>
      </c>
    </row>
    <row r="84" spans="5:6" x14ac:dyDescent="0.25">
      <c r="E84" s="39" t="s">
        <v>83</v>
      </c>
      <c r="F84" s="41">
        <v>0</v>
      </c>
    </row>
    <row r="85" spans="5:6" x14ac:dyDescent="0.25">
      <c r="E85" s="39" t="s">
        <v>1</v>
      </c>
      <c r="F85" s="41">
        <v>0</v>
      </c>
    </row>
    <row r="86" spans="5:6" x14ac:dyDescent="0.25">
      <c r="E86" s="39" t="s">
        <v>61</v>
      </c>
      <c r="F86" s="41">
        <v>0</v>
      </c>
    </row>
    <row r="87" spans="5:6" x14ac:dyDescent="0.25">
      <c r="E87" s="39" t="s">
        <v>72</v>
      </c>
      <c r="F87" s="41">
        <v>0</v>
      </c>
    </row>
    <row r="88" spans="5:6" x14ac:dyDescent="0.25">
      <c r="E88" s="39" t="s">
        <v>90</v>
      </c>
      <c r="F88" s="41">
        <v>0</v>
      </c>
    </row>
    <row r="89" spans="5:6" x14ac:dyDescent="0.25">
      <c r="E89" s="39" t="s">
        <v>71</v>
      </c>
      <c r="F89" s="41">
        <v>0</v>
      </c>
    </row>
    <row r="90" spans="5:6" x14ac:dyDescent="0.25">
      <c r="E90" s="39" t="s">
        <v>49</v>
      </c>
      <c r="F90" s="41">
        <v>0</v>
      </c>
    </row>
    <row r="91" spans="5:6" x14ac:dyDescent="0.25">
      <c r="E91" s="39" t="s">
        <v>93</v>
      </c>
      <c r="F91" s="41">
        <v>0</v>
      </c>
    </row>
    <row r="92" spans="5:6" x14ac:dyDescent="0.25">
      <c r="E92" s="39" t="s">
        <v>8</v>
      </c>
      <c r="F92" s="41">
        <v>0</v>
      </c>
    </row>
    <row r="93" spans="5:6" x14ac:dyDescent="0.25">
      <c r="E93" s="39" t="s">
        <v>36</v>
      </c>
      <c r="F93" s="41">
        <v>0</v>
      </c>
    </row>
    <row r="94" spans="5:6" x14ac:dyDescent="0.25">
      <c r="E94" s="39" t="s">
        <v>77</v>
      </c>
      <c r="F94" s="41">
        <v>0</v>
      </c>
    </row>
    <row r="95" spans="5:6" x14ac:dyDescent="0.25">
      <c r="E95" s="39" t="s">
        <v>81</v>
      </c>
      <c r="F95" s="41">
        <v>0</v>
      </c>
    </row>
    <row r="96" spans="5:6" x14ac:dyDescent="0.25">
      <c r="E96" s="39" t="s">
        <v>3</v>
      </c>
      <c r="F96" s="41">
        <v>0</v>
      </c>
    </row>
    <row r="97" spans="5:6" x14ac:dyDescent="0.25">
      <c r="E97" s="39" t="s">
        <v>80</v>
      </c>
      <c r="F97" s="41">
        <v>0</v>
      </c>
    </row>
    <row r="98" spans="5:6" x14ac:dyDescent="0.25">
      <c r="E98" s="39" t="s">
        <v>57</v>
      </c>
      <c r="F98" s="41">
        <v>0</v>
      </c>
    </row>
    <row r="99" spans="5:6" x14ac:dyDescent="0.25">
      <c r="E99" s="39" t="s">
        <v>63</v>
      </c>
      <c r="F99" s="41">
        <v>0</v>
      </c>
    </row>
    <row r="100" spans="5:6" x14ac:dyDescent="0.25">
      <c r="E100" s="39" t="s">
        <v>64</v>
      </c>
      <c r="F100" s="41">
        <v>0</v>
      </c>
    </row>
    <row r="101" spans="5:6" x14ac:dyDescent="0.25">
      <c r="E101" s="39" t="s">
        <v>94</v>
      </c>
      <c r="F101" s="41">
        <v>0</v>
      </c>
    </row>
    <row r="102" spans="5:6" x14ac:dyDescent="0.25">
      <c r="E102" s="39" t="s">
        <v>20</v>
      </c>
      <c r="F102" s="41">
        <v>0</v>
      </c>
    </row>
    <row r="103" spans="5:6" x14ac:dyDescent="0.25">
      <c r="E103" s="39" t="s">
        <v>54</v>
      </c>
      <c r="F103" s="41">
        <v>0</v>
      </c>
    </row>
    <row r="104" spans="5:6" x14ac:dyDescent="0.25">
      <c r="E104" s="39" t="s">
        <v>11</v>
      </c>
      <c r="F104" s="41">
        <v>0</v>
      </c>
    </row>
    <row r="105" spans="5:6" x14ac:dyDescent="0.25">
      <c r="E105" s="39" t="s">
        <v>264</v>
      </c>
      <c r="F105" s="41">
        <v>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1B141DFA3B6D498C0A12C909DA3C37" ma:contentTypeVersion="" ma:contentTypeDescription="Create a new document." ma:contentTypeScope="" ma:versionID="2710a1aa7e2e9fe1a5f7a44e2279bc2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44824C-7FD3-45C2-BAF2-26655CC56F3F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AB823F3-A949-4BC7-BB10-8F76A95ED6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45A3829-4D4A-4C20-9C80-3F9C9A86E1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Methodology</vt:lpstr>
      <vt:lpstr>Instances of ePHI</vt:lpstr>
      <vt:lpstr>Threats</vt:lpstr>
      <vt:lpstr>Vulnerabilities</vt:lpstr>
      <vt:lpstr>Risk Ratings</vt:lpstr>
      <vt:lpstr>Risk Measurement</vt:lpstr>
      <vt:lpstr>Graphical Risks </vt:lpstr>
      <vt:lpstr>PIVOT</vt:lpstr>
      <vt:lpstr>Vulnerabilities!Print_Area</vt:lpstr>
    </vt:vector>
  </TitlesOfParts>
  <Company>Ernst &amp; Young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Ernst &amp; Young</dc:creator>
  <cp:lastModifiedBy>Eric Thompson</cp:lastModifiedBy>
  <cp:lastPrinted>2016-12-06T16:55:14Z</cp:lastPrinted>
  <dcterms:created xsi:type="dcterms:W3CDTF">2014-05-06T16:04:22Z</dcterms:created>
  <dcterms:modified xsi:type="dcterms:W3CDTF">2017-12-07T20:15:21Z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0x010100071B141DFA3B6D498C0A12C909DA3C37</vt:lpwstr>
  </property>
</Properties>
</file>